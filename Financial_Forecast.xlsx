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" sheetId="1" state="visible" r:id="rId3"/>
    <sheet name="Balance Chart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<sst xmlns="http://schemas.openxmlformats.org/spreadsheetml/2006/main" count="118" uniqueCount="41">
  <si>
    <t xml:space="preserve">Personal Financial Forecast — Mitch</t>
  </si>
  <si>
    <t xml:space="preserve">Generated: April 15, 2026  |  Starting Balance: $3,534.77</t>
  </si>
  <si>
    <t xml:space="preserve">Date</t>
  </si>
  <si>
    <t xml:space="preserve">Description</t>
  </si>
  <si>
    <t xml:space="preserve">Amount ($)</t>
  </si>
  <si>
    <t xml:space="preserve">Balance ($)</t>
  </si>
  <si>
    <t xml:space="preserve">Note</t>
  </si>
  <si>
    <t xml:space="preserve">Low Balance?</t>
  </si>
  <si>
    <t xml:space="preserve">Opening Balance</t>
  </si>
  <si>
    <t xml:space="preserve">Car Payment</t>
  </si>
  <si>
    <t xml:space="preserve">Groceries</t>
  </si>
  <si>
    <t xml:space="preserve">USI</t>
  </si>
  <si>
    <t xml:space="preserve">Unemployment</t>
  </si>
  <si>
    <t xml:space="preserve">MAY 2026</t>
  </si>
  <si>
    <t xml:space="preserve">Lifetime</t>
  </si>
  <si>
    <t xml:space="preserve">Mortgage</t>
  </si>
  <si>
    <t xml:space="preserve">GamePass</t>
  </si>
  <si>
    <t xml:space="preserve">Pet Insurance</t>
  </si>
  <si>
    <t xml:space="preserve">Utility Bill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</si>
  <si>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</si>
  <si>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</si>
  <si>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</si>
  <si>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</si>
  <si>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SUMMARY</t>
  </si>
  <si>
    <t xml:space="preserve">Closing Balance</t>
  </si>
  <si>
    <t xml:space="preserve">Total Income</t>
  </si>
  <si>
    <t xml:space="preserve">Total Expenses</t>
  </si>
  <si>
    <t xml:space="preserve">Net Cash Flow</t>
  </si>
  <si>
    <t xml:space="preserve">Min Balance</t>
  </si>
  <si>
    <t xml:space="preserve">Balance</t>
  </si>
  <si>
    <t xml:space="preserve">Known Recurring Expenses &amp; Income</t>
  </si>
  <si>
    <t xml:space="preserve">Item</t>
  </si>
  <si>
    <t xml:space="preserve">Schedule</t>
  </si>
  <si>
    <t xml:space="preserve">Every other Wednesday</t>
  </si>
  <si>
    <t xml:space="preserve">1st of month</t>
  </si>
  <si>
    <t xml:space="preserve">2nd of month</t>
  </si>
  <si>
    <t xml:space="preserve">6th of month</t>
  </si>
  <si>
    <t xml:space="preserve">13th of month</t>
  </si>
  <si>
    <t xml:space="preserve">16th of month</t>
  </si>
  <si>
    <t xml:space="preserve">26th of month</t>
  </si>
  <si>
    <t xml:space="preserve">Weekly (every Sunday)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</si>
</sst>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;&quot;($&quot;#,##0.00\);\-"/>
    <numFmt numFmtId="16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2F2F2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Account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'Balance Chart'!B1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1F3864"/>
            </a:solidFill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Chart'!$A$2:$A$75</c:f>
              <c:strCache>
                <c:ptCount val="74"/>
                <c:pt idx="0">
                  <c:v>04/15/2026</c:v>
                </c:pt>
                <c:pt idx="1">
                  <c:v>04/16/2026</c:v>
                </c:pt>
                <c:pt idx="2">
                  <c:v>04/19/2026</c:v>
                </c:pt>
                <c:pt idx="3">
                  <c:v>04/26/2026</c:v>
                </c:pt>
                <c:pt idx="4">
                  <c:v>04/26/2026</c:v>
                </c:pt>
                <c:pt idx="5">
                  <c:v>04/29/2026</c:v>
                </c:pt>
                <c:pt idx="6">
                  <c:v>05/01/2026</c:v>
                </c:pt>
                <c:pt idx="7">
                  <c:v>05/01/2026</c:v>
                </c:pt>
                <c:pt idx="8">
                  <c:v>05/02/2026</c:v>
                </c:pt>
                <c:pt idx="9">
                  <c:v>05/03/2026</c:v>
                </c:pt>
                <c:pt idx="10">
                  <c:v>05/06/2026</c:v>
                </c:pt>
                <c:pt idx="11">
                  <c:v>05/10/2026</c:v>
                </c:pt>
                <c:pt idx="12">
                  <c:v>05/13/2026</c:v>
                </c:pt>
                <c:pt idx="13">
                  <c:v>05/13/2026</c:v>
                </c:pt>
                <c:pt idx="14">
                  <c:v>05/16/2026</c:v>
                </c:pt>
                <c:pt idx="15">
                  <c:v>05/17/2026</c:v>
                </c:pt>
                <c:pt idx="16">
                  <c:v>05/24/2026</c:v>
                </c:pt>
                <c:pt idx="17">
                  <c:v>05/26/2026</c:v>
                </c:pt>
                <c:pt idx="18">
                  <c:v>05/27/2026</c:v>
                </c:pt>
                <c:pt idx="19">
                  <c:v>05/31/2026</c:v>
                </c:pt>
                <c:pt idx="20">
                  <c:v>06/01/2026</c:v>
                </c:pt>
                <c:pt idx="21">
                  <c:v>06/01/2026</c:v>
                </c:pt>
                <c:pt idx="22">
                  <c:v>06/02/2026</c:v>
                </c:pt>
                <c:pt idx="23">
                  <c:v>06/06/2026</c:v>
                </c:pt>
                <c:pt idx="24">
                  <c:v>06/07/2026</c:v>
                </c:pt>
                <c:pt idx="25">
                  <c:v>06/10/2026</c:v>
                </c:pt>
                <c:pt idx="26">
                  <c:v>06/13/2026</c:v>
                </c:pt>
                <c:pt idx="27">
                  <c:v>06/14/2026</c:v>
                </c:pt>
                <c:pt idx="28">
                  <c:v>06/16/2026</c:v>
                </c:pt>
                <c:pt idx="29">
                  <c:v>06/21/2026</c:v>
                </c:pt>
                <c:pt idx="30">
                  <c:v>06/24/2026</c:v>
                </c:pt>
                <c:pt idx="31">
                  <c:v>06/26/2026</c:v>
                </c:pt>
                <c:pt idx="32">
                  <c:v>06/28/2026</c:v>
                </c:pt>
                <c:pt idx="33">
                  <c:v>07/01/2026</c:v>
                </c:pt>
                <c:pt idx="34">
                  <c:v>07/01/2026</c:v>
                </c:pt>
                <c:pt idx="35">
                  <c:v>07/02/2026</c:v>
                </c:pt>
                <c:pt idx="36">
                  <c:v>07/05/2026</c:v>
                </c:pt>
                <c:pt idx="37">
                  <c:v>07/06/2026</c:v>
                </c:pt>
                <c:pt idx="38">
                  <c:v>07/08/2026</c:v>
                </c:pt>
                <c:pt idx="39">
                  <c:v>07/12/2026</c:v>
                </c:pt>
                <c:pt idx="40">
                  <c:v>07/13/2026</c:v>
                </c:pt>
                <c:pt idx="41">
                  <c:v>07/16/2026</c:v>
                </c:pt>
                <c:pt idx="42">
                  <c:v>07/19/2026</c:v>
                </c:pt>
                <c:pt idx="43">
                  <c:v>07/22/2026</c:v>
                </c:pt>
                <c:pt idx="44">
                  <c:v>07/26/2026</c:v>
                </c:pt>
                <c:pt idx="45">
                  <c:v>07/26/2026</c:v>
                </c:pt>
                <c:pt idx="46">
                  <c:v>08/01/2026</c:v>
                </c:pt>
                <c:pt idx="47">
                  <c:v>08/01/2026</c:v>
                </c:pt>
                <c:pt idx="48">
                  <c:v>08/02/2026</c:v>
                </c:pt>
                <c:pt idx="49">
                  <c:v>08/02/2026</c:v>
                </c:pt>
                <c:pt idx="50">
                  <c:v>08/05/2026</c:v>
                </c:pt>
                <c:pt idx="51">
                  <c:v>08/06/2026</c:v>
                </c:pt>
                <c:pt idx="52">
                  <c:v>08/09/2026</c:v>
                </c:pt>
                <c:pt idx="53">
                  <c:v>08/13/2026</c:v>
                </c:pt>
                <c:pt idx="54">
                  <c:v>08/16/2026</c:v>
                </c:pt>
                <c:pt idx="55">
                  <c:v>08/16/2026</c:v>
                </c:pt>
                <c:pt idx="56">
                  <c:v>08/19/2026</c:v>
                </c:pt>
                <c:pt idx="57">
                  <c:v>08/23/2026</c:v>
                </c:pt>
                <c:pt idx="58">
                  <c:v>08/26/2026</c:v>
                </c:pt>
                <c:pt idx="59">
                  <c:v>08/30/2026</c:v>
                </c:pt>
                <c:pt idx="60">
                  <c:v>09/01/2026</c:v>
                </c:pt>
                <c:pt idx="61">
                  <c:v>09/01/2026</c:v>
                </c:pt>
                <c:pt idx="62">
                  <c:v>09/02/2026</c:v>
                </c:pt>
                <c:pt idx="63">
                  <c:v>09/02/2026</c:v>
                </c:pt>
                <c:pt idx="64">
                  <c:v>09/06/2026</c:v>
                </c:pt>
                <c:pt idx="65">
                  <c:v>09/06/2026</c:v>
                </c:pt>
                <c:pt idx="66">
                  <c:v>09/13/2026</c:v>
                </c:pt>
                <c:pt idx="67">
                  <c:v>09/13/2026</c:v>
                </c:pt>
                <c:pt idx="68">
                  <c:v>09/16/2026</c:v>
                </c:pt>
                <c:pt idx="69">
                  <c:v>09/16/2026</c:v>
                </c:pt>
                <c:pt idx="70">
                  <c:v>09/20/2026</c:v>
                </c:pt>
                <c:pt idx="71">
                  <c:v>09/26/2026</c:v>
                </c:pt>
                <c:pt idx="72">
                  <c:v>09/27/2026</c:v>
                </c:pt>
                <c:pt idx="73">
                  <c:v>09/30/2026</c:v>
                </c:pt>
              </c:strCache>
            </c:strRef>
          </c:cat>
          <c:val>
            <c:numRef>
              <c:f>'Balance Chart'!$B$2:$B$75</c:f>
              <c:numCache>
                <c:formatCode>\$#,##0.00;"($"#,##0.00\);\-</c:formatCode>
                <c:ptCount val="74"/>
                <c:pt idx="0">
                  <c:v>3534.77</c:v>
                </c:pt>
                <c:pt idx="1">
                  <c:v>3053.44</c:v>
                </c:pt>
                <c:pt idx="2">
                  <c:v>2953.44</c:v>
                </c:pt>
                <c:pt idx="3">
                  <c:v>2915.94</c:v>
                </c:pt>
                <c:pt idx="4">
                  <c:v>2815.94</c:v>
                </c:pt>
                <c:pt idx="5">
                  <c:v>5452.45</c:v>
                </c:pt>
                <c:pt idx="6">
                  <c:v>-169</c:v>
                </c:pt>
                <c:pt idx="7">
                  <c:v>-1932.75</c:v>
                </c:pt>
                <c:pt idx="8">
                  <c:v>-1943.63</c:v>
                </c:pt>
                <c:pt idx="9">
                  <c:v>-2043.63</c:v>
                </c:pt>
                <c:pt idx="10">
                  <c:v>-2064.59</c:v>
                </c:pt>
                <c:pt idx="11">
                  <c:v>-2164.59</c:v>
                </c:pt>
                <c:pt idx="12">
                  <c:v>471.92</c:v>
                </c:pt>
                <c:pt idx="13">
                  <c:v>392.42</c:v>
                </c:pt>
                <c:pt idx="14">
                  <c:v>-88.9099999999999</c:v>
                </c:pt>
                <c:pt idx="15">
                  <c:v>-188.91</c:v>
                </c:pt>
                <c:pt idx="16">
                  <c:v>-288.91</c:v>
                </c:pt>
                <c:pt idx="17">
                  <c:v>-326.41</c:v>
                </c:pt>
                <c:pt idx="18">
                  <c:v>2310.1</c:v>
                </c:pt>
                <c:pt idx="19">
                  <c:v>2210.1</c:v>
                </c:pt>
                <c:pt idx="20">
                  <c:v>-169</c:v>
                </c:pt>
                <c:pt idx="21">
                  <c:v>-1932.75</c:v>
                </c:pt>
                <c:pt idx="22">
                  <c:v>-1943.63</c:v>
                </c:pt>
                <c:pt idx="23">
                  <c:v>-1964.59</c:v>
                </c:pt>
                <c:pt idx="24">
                  <c:v>-2064.59</c:v>
                </c:pt>
                <c:pt idx="25">
                  <c:v>571.92</c:v>
                </c:pt>
                <c:pt idx="26">
                  <c:v>492.42</c:v>
                </c:pt>
                <c:pt idx="27">
                  <c:v>392.42</c:v>
                </c:pt>
                <c:pt idx="28">
                  <c:v>-88.9099999999999</c:v>
                </c:pt>
                <c:pt idx="29">
                  <c:v>-188.91</c:v>
                </c:pt>
                <c:pt idx="30">
                  <c:v>2447.6</c:v>
                </c:pt>
                <c:pt idx="31">
                  <c:v>2410.1</c:v>
                </c:pt>
                <c:pt idx="32">
                  <c:v>2310.1</c:v>
                </c:pt>
                <c:pt idx="33">
                  <c:v>-169</c:v>
                </c:pt>
                <c:pt idx="34">
                  <c:v>-1932.75</c:v>
                </c:pt>
                <c:pt idx="35">
                  <c:v>-1943.63</c:v>
                </c:pt>
                <c:pt idx="36">
                  <c:v>-2043.63</c:v>
                </c:pt>
                <c:pt idx="37">
                  <c:v>-2064.59</c:v>
                </c:pt>
                <c:pt idx="38">
                  <c:v>571.92</c:v>
                </c:pt>
                <c:pt idx="39">
                  <c:v>471.92</c:v>
                </c:pt>
                <c:pt idx="40">
                  <c:v>392.42</c:v>
                </c:pt>
                <c:pt idx="41">
                  <c:v>-88.9099999999999</c:v>
                </c:pt>
                <c:pt idx="42">
                  <c:v>-188.91</c:v>
                </c:pt>
                <c:pt idx="43">
                  <c:v>2447.6</c:v>
                </c:pt>
                <c:pt idx="44">
                  <c:v>2410.1</c:v>
                </c:pt>
                <c:pt idx="45">
                  <c:v>2310.1</c:v>
                </c:pt>
                <c:pt idx="46">
                  <c:v>-169</c:v>
                </c:pt>
                <c:pt idx="47">
                  <c:v>-1932.75</c:v>
                </c:pt>
                <c:pt idx="48">
                  <c:v>-1943.63</c:v>
                </c:pt>
                <c:pt idx="49">
                  <c:v>-2043.63</c:v>
                </c:pt>
                <c:pt idx="50">
                  <c:v>592.88</c:v>
                </c:pt>
                <c:pt idx="51">
                  <c:v>571.92</c:v>
                </c:pt>
                <c:pt idx="52">
                  <c:v>471.92</c:v>
                </c:pt>
                <c:pt idx="53">
                  <c:v>392.42</c:v>
                </c:pt>
                <c:pt idx="54">
                  <c:v>292.42</c:v>
                </c:pt>
                <c:pt idx="55">
                  <c:v>-188.91</c:v>
                </c:pt>
                <c:pt idx="56">
                  <c:v>2447.6</c:v>
                </c:pt>
                <c:pt idx="57">
                  <c:v>2347.6</c:v>
                </c:pt>
                <c:pt idx="58">
                  <c:v>2310.1</c:v>
                </c:pt>
                <c:pt idx="59">
                  <c:v>2210.1</c:v>
                </c:pt>
                <c:pt idx="60">
                  <c:v>-169</c:v>
                </c:pt>
                <c:pt idx="61">
                  <c:v>-1932.75</c:v>
                </c:pt>
                <c:pt idx="62">
                  <c:v>703.76</c:v>
                </c:pt>
                <c:pt idx="63">
                  <c:v>692.88</c:v>
                </c:pt>
                <c:pt idx="64">
                  <c:v>671.92</c:v>
                </c:pt>
                <c:pt idx="65">
                  <c:v>571.92</c:v>
                </c:pt>
                <c:pt idx="66">
                  <c:v>492.42</c:v>
                </c:pt>
                <c:pt idx="67">
                  <c:v>392.42</c:v>
                </c:pt>
                <c:pt idx="68">
                  <c:v>3028.93</c:v>
                </c:pt>
                <c:pt idx="69">
                  <c:v>2547.6</c:v>
                </c:pt>
                <c:pt idx="70">
                  <c:v>2447.6</c:v>
                </c:pt>
                <c:pt idx="71">
                  <c:v>2410.1</c:v>
                </c:pt>
                <c:pt idx="72">
                  <c:v>2310.1</c:v>
                </c:pt>
                <c:pt idx="73">
                  <c:v>4946.61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020208"/>
        <c:axId val="86590508"/>
      </c:lineChart>
      <c:catAx>
        <c:axId val="62020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590508"/>
        <c:crosses val="autoZero"/>
        <c:auto val="1"/>
        <c:lblAlgn val="ctr"/>
        <c:lblOffset val="100"/>
        <c:noMultiLvlLbl val="0"/>
      </c:catAx>
      <c:valAx>
        <c:axId val="865905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0202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78480</xdr:colOff>
      <xdr:row>27</xdr:row>
      <xdr:rowOff>86400</xdr:rowOff>
    </xdr:to>
    <xdr:graphicFrame>
      <xdr:nvGraphicFramePr>
        <xdr:cNvPr id="1" name="Chart 1"/>
        <xdr:cNvGraphicFramePr/>
      </xdr:nvGraphicFramePr>
      <xdr:xfrm>
        <a:off x="2585160" y="190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46127</v>
      </c>
      <c r="B5" s="5" t="s">
        <v>8</v>
      </c>
      <c r="C5" s="6"/>
      <c r="D5" s="7" t="n">
        <v>3534.77</v>
      </c>
      <c r="E5" s="8"/>
      <c r="F5" s="8"/>
    </row>
    <row r="6" customFormat="false" ht="15" hidden="false" customHeight="false" outlineLevel="0" collapsed="false">
      <c r="A6" s="9" t="n">
        <v>46128</v>
      </c>
      <c r="B6" s="10" t="s">
        <v>9</v>
      </c>
      <c r="C6" s="11" t="n">
        <v>-481.33</v>
      </c>
      <c r="D6" s="12" t="n">
        <f aca="false">D5+C6</f>
        <v>3053.44</v>
      </c>
      <c r="E6" s="13"/>
      <c r="F6" s="14" t="str">
        <f aca="false">IF(D6&lt;500,"⚠ LOW","OK")</f>
        <v>OK</v>
      </c>
    </row>
    <row r="7" customFormat="false" ht="15" hidden="false" customHeight="false" outlineLevel="0" collapsed="false">
      <c r="A7" s="15" t="n">
        <v>46131</v>
      </c>
      <c r="B7" s="16" t="s">
        <v>10</v>
      </c>
      <c r="C7" s="11" t="n">
        <v>-100</v>
      </c>
      <c r="D7" s="17" t="n">
        <f aca="false">D6+C7</f>
        <v>2953.44</v>
      </c>
      <c r="E7" s="18"/>
      <c r="F7" s="19" t="str">
        <f aca="false">IF(D7&lt;500,"⚠ LOW","OK")</f>
        <v>OK</v>
      </c>
    </row>
    <row r="8" customFormat="false" ht="15" hidden="false" customHeight="false" outlineLevel="0" collapsed="false">
      <c r="A8" s="9" t="n">
        <v>46138</v>
      </c>
      <c r="B8" s="10" t="s">
        <v>11</v>
      </c>
      <c r="C8" s="11" t="n">
        <v>-37.5</v>
      </c>
      <c r="D8" s="12" t="n">
        <f aca="false">D7+C8</f>
        <v>2915.94</v>
      </c>
      <c r="E8" s="13"/>
      <c r="F8" s="14" t="str">
        <f aca="false">IF(D8&lt;500,"⚠ LOW","OK")</f>
        <v>OK</v>
      </c>
    </row>
    <row r="9" customFormat="false" ht="15" hidden="false" customHeight="false" outlineLevel="0" collapsed="false">
      <c r="A9" s="15" t="n">
        <v>46138</v>
      </c>
      <c r="B9" s="16" t="s">
        <v>10</v>
      </c>
      <c r="C9" s="11" t="n">
        <v>-100</v>
      </c>
      <c r="D9" s="17" t="n">
        <f aca="false">D8+C9</f>
        <v>2815.94</v>
      </c>
      <c r="E9" s="18"/>
      <c r="F9" s="19" t="str">
        <f aca="false">IF(D9&lt;500,"⚠ LOW","OK")</f>
        <v>OK</v>
      </c>
    </row>
    <row r="10" customFormat="false" ht="15" hidden="false" customHeight="false" outlineLevel="0" collapsed="false">
      <c r="A10" s="9" t="n">
        <v>46141</v>
      </c>
      <c r="B10" s="10" t="s">
        <v>12</v>
      </c>
      <c r="C10" s="20" t="n">
        <v>2636.51</v>
      </c>
      <c r="D10" s="12" t="n">
        <f aca="false">D9+C10</f>
        <v>5452.45</v>
      </c>
      <c r="E10" s="13"/>
      <c r="F10" s="14" t="str">
        <f aca="false">IF(D10&lt;500,"⚠ LOW","OK")</f>
        <v>OK</v>
      </c>
    </row>
    <row r="11" customFormat="false" ht="15" hidden="false" customHeight="false" outlineLevel="0" collapsed="false">
      <c r="A11" s="21" t="s">
        <v>13</v>
      </c>
      <c r="B11" s="21"/>
      <c r="C11" s="21"/>
      <c r="D11" s="21"/>
      <c r="E11" s="21"/>
      <c r="F11" s="21"/>
    </row>
    <row r="12" customFormat="false" ht="15" hidden="false" customHeight="false" outlineLevel="0" collapsed="false">
      <c r="A12" s="15" t="n">
        <v>46143</v>
      </c>
      <c r="B12" s="16" t="s">
        <v>14</v>
      </c>
      <c r="C12" s="11" t="n">
        <v>-169</v>
      </c>
      <c r="D12" s="17" t="n">
        <f aca="false">D11+C12</f>
        <v>-169</v>
      </c>
      <c r="E12" s="18"/>
      <c r="F12" s="19" t="str">
        <f aca="false">IF(D12&lt;500,"⚠ LOW","OK")</f>
        <v>⚠ LOW</v>
      </c>
    </row>
    <row r="13" customFormat="false" ht="15" hidden="false" customHeight="false" outlineLevel="0" collapsed="false">
      <c r="A13" s="9" t="n">
        <v>46143</v>
      </c>
      <c r="B13" s="10" t="s">
        <v>15</v>
      </c>
      <c r="C13" s="11" t="n">
        <v>-1763.75</v>
      </c>
      <c r="D13" s="12" t="n">
        <f aca="false">D12+C13</f>
        <v>-1932.75</v>
      </c>
      <c r="E13" s="13"/>
      <c r="F13" s="14" t="str">
        <f aca="false">IF(D13&lt;500,"⚠ LOW","OK")</f>
        <v>⚠ LOW</v>
      </c>
    </row>
    <row r="14" customFormat="false" ht="15" hidden="false" customHeight="false" outlineLevel="0" collapsed="false">
      <c r="A14" s="15" t="n">
        <v>46144</v>
      </c>
      <c r="B14" s="16" t="s">
        <v>16</v>
      </c>
      <c r="C14" s="11" t="n">
        <v>-10.88</v>
      </c>
      <c r="D14" s="17" t="n">
        <f aca="false">D13+C14</f>
        <v>-1943.63</v>
      </c>
      <c r="E14" s="18"/>
      <c r="F14" s="19" t="str">
        <f aca="false">IF(D14&lt;500,"⚠ LOW","OK")</f>
        <v>⚠ LOW</v>
      </c>
    </row>
    <row r="15" customFormat="false" ht="15" hidden="false" customHeight="false" outlineLevel="0" collapsed="false">
      <c r="A15" s="9" t="n">
        <v>46145</v>
      </c>
      <c r="B15" s="10" t="s">
        <v>10</v>
      </c>
      <c r="C15" s="11" t="n">
        <v>-100</v>
      </c>
      <c r="D15" s="12" t="n">
        <f aca="false">D14+C15</f>
        <v>-2043.63</v>
      </c>
      <c r="E15" s="13"/>
      <c r="F15" s="14" t="str">
        <f aca="false">IF(D15&lt;500,"⚠ LOW","OK")</f>
        <v>⚠ LOW</v>
      </c>
    </row>
    <row r="16" customFormat="false" ht="15" hidden="false" customHeight="false" outlineLevel="0" collapsed="false">
      <c r="A16" s="15" t="n">
        <v>46148</v>
      </c>
      <c r="B16" s="16" t="s">
        <v>17</v>
      </c>
      <c r="C16" s="11" t="n">
        <v>-20.96</v>
      </c>
      <c r="D16" s="17" t="n">
        <f aca="false">D15+C16</f>
        <v>-2064.59</v>
      </c>
      <c r="E16" s="18"/>
      <c r="F16" s="19" t="str">
        <f aca="false">IF(D16&lt;500,"⚠ LOW","OK")</f>
        <v>⚠ LOW</v>
      </c>
    </row>
    <row r="17" customFormat="false" ht="15" hidden="false" customHeight="false" outlineLevel="0" collapsed="false">
      <c r="A17" s="9" t="n">
        <v>46152</v>
      </c>
      <c r="B17" s="10" t="s">
        <v>10</v>
      </c>
      <c r="C17" s="11" t="n">
        <v>-100</v>
      </c>
      <c r="D17" s="12" t="n">
        <f aca="false">D16+C17</f>
        <v>-2164.59</v>
      </c>
      <c r="E17" s="13"/>
      <c r="F17" s="14" t="str">
        <f aca="false">IF(D17&lt;500,"⚠ LOW","OK")</f>
        <v>⚠ LOW</v>
      </c>
    </row>
    <row r="18" customFormat="false" ht="15" hidden="false" customHeight="false" outlineLevel="0" collapsed="false">
      <c r="A18" s="15" t="n">
        <v>46155</v>
      </c>
      <c r="B18" s="16" t="s">
        <v>12</v>
      </c>
      <c r="C18" s="20" t="n">
        <v>2636.51</v>
      </c>
      <c r="D18" s="17" t="n">
        <f aca="false">D17+C18</f>
        <v>471.92</v>
      </c>
      <c r="E18" s="18"/>
      <c r="F18" s="19" t="str">
        <f aca="false">IF(D18&lt;500,"⚠ LOW","OK")</f>
        <v>⚠ LOW</v>
      </c>
    </row>
    <row r="19" customFormat="false" ht="15" hidden="false" customHeight="false" outlineLevel="0" collapsed="false">
      <c r="A19" s="9" t="n">
        <v>46155</v>
      </c>
      <c r="B19" s="10" t="s">
        <v>18</v>
      </c>
      <c r="C19" s="11" t="n">
        <v>-79.5</v>
      </c>
      <c r="D19" s="12" t="n">
        <f aca="false">D18+C19</f>
        <v>392.42</v>
      </c>
      <c r="E19" s="13"/>
      <c r="F19" s="14" t="str">
        <f aca="false">IF(D19&lt;500,"⚠ LOW","OK")</f>
        <v>⚠ LOW</v>
      </c>
    </row>
    <row r="20" customFormat="false" ht="15" hidden="false" customHeight="false" outlineLevel="0" collapsed="false">
      <c r="A20" s="15" t="n">
        <v>46158</v>
      </c>
      <c r="B20" s="16" t="s">
        <v>9</v>
      </c>
      <c r="C20" s="11" t="n">
        <v>-481.33</v>
      </c>
      <c r="D20" s="17" t="n">
        <f aca="false">D19+C20</f>
        <v>-88.9099999999999</v>
      </c>
      <c r="E20" s="18"/>
      <c r="F20" s="19" t="str">
        <f aca="false">IF(D20&lt;500,"⚠ LOW","OK")</f>
        <v>⚠ LOW</v>
      </c>
    </row>
    <row r="21" customFormat="false" ht="15" hidden="false" customHeight="false" outlineLevel="0" collapsed="false">
      <c r="A21" s="9" t="n">
        <v>46159</v>
      </c>
      <c r="B21" s="10" t="s">
        <v>10</v>
      </c>
      <c r="C21" s="11" t="n">
        <v>-100</v>
      </c>
      <c r="D21" s="12" t="n">
        <f aca="false">D20+C21</f>
        <v>-188.91</v>
      </c>
      <c r="E21" s="13"/>
      <c r="F21" s="14" t="str">
        <f aca="false">IF(D21&lt;500,"⚠ LOW","OK")</f>
        <v>⚠ LOW</v>
      </c>
    </row>
    <row r="22" customFormat="false" ht="15" hidden="false" customHeight="false" outlineLevel="0" collapsed="false">
      <c r="A22" s="15" t="n">
        <v>46166</v>
      </c>
      <c r="B22" s="16" t="s">
        <v>10</v>
      </c>
      <c r="C22" s="11" t="n">
        <v>-100</v>
      </c>
      <c r="D22" s="17" t="n">
        <f aca="false">D21+C22</f>
        <v>-288.91</v>
      </c>
      <c r="E22" s="18"/>
      <c r="F22" s="19" t="str">
        <f aca="false">IF(D22&lt;500,"⚠ LOW","OK")</f>
        <v>⚠ LOW</v>
      </c>
    </row>
    <row r="23" customFormat="false" ht="15" hidden="false" customHeight="false" outlineLevel="0" collapsed="false">
      <c r="A23" s="9" t="n">
        <v>46168</v>
      </c>
      <c r="B23" s="10" t="s">
        <v>11</v>
      </c>
      <c r="C23" s="11" t="n">
        <v>-37.5</v>
      </c>
      <c r="D23" s="12" t="n">
        <f aca="false">D22+C23</f>
        <v>-326.41</v>
      </c>
      <c r="E23" s="13"/>
      <c r="F23" s="14" t="str">
        <f aca="false">IF(D23&lt;500,"⚠ LOW","OK")</f>
        <v>⚠ LOW</v>
      </c>
    </row>
    <row r="24" customFormat="false" ht="15" hidden="false" customHeight="false" outlineLevel="0" collapsed="false">
      <c r="A24" s="15" t="n">
        <v>46169</v>
      </c>
      <c r="B24" s="16" t="s">
        <v>12</v>
      </c>
      <c r="C24" s="20" t="n">
        <v>2636.51</v>
      </c>
      <c r="D24" s="17" t="n">
        <f aca="false">D23+C24</f>
        <v>2310.1</v>
      </c>
      <c r="E24" s="18"/>
      <c r="F24" s="19" t="str">
        <f aca="false">IF(D24&lt;500,"⚠ LOW","OK")</f>
        <v>OK</v>
      </c>
    </row>
    <row r="25" customFormat="false" ht="15" hidden="false" customHeight="false" outlineLevel="0" collapsed="false">
      <c r="A25" s="9" t="n">
        <v>46173</v>
      </c>
      <c r="B25" s="10" t="s">
        <v>10</v>
      </c>
      <c r="C25" s="11" t="n">
        <v>-100</v>
      </c>
      <c r="D25" s="12" t="n">
        <f aca="false">D24+C25</f>
        <v>2210.1</v>
      </c>
      <c r="E25" s="13"/>
      <c r="F25" s="14" t="str">
        <f aca="false">IF(D25&lt;500,"⚠ LOW","OK")</f>
        <v>OK</v>
      </c>
    </row>
    <row r="26" customFormat="false" ht="15" hidden="false" customHeight="false" outlineLevel="0" collapsed="false">
      <c r="A26" s="21" t="s">
        <v>19</v>
      </c>
      <c r="B26" s="21"/>
      <c r="C26" s="21"/>
      <c r="D26" s="21"/>
      <c r="E26" s="21"/>
      <c r="F26" s="21"/>
    </row>
    <row r="27" customFormat="false" ht="15" hidden="false" customHeight="false" outlineLevel="0" collapsed="false">
      <c r="A27" s="15" t="n">
        <v>46174</v>
      </c>
      <c r="B27" s="16" t="s">
        <v>14</v>
      </c>
      <c r="C27" s="11" t="n">
        <v>-169</v>
      </c>
      <c r="D27" s="17" t="n">
        <f aca="false">D26+C27</f>
        <v>-169</v>
      </c>
      <c r="E27" s="18"/>
      <c r="F27" s="19" t="str">
        <f aca="false">IF(D27&lt;500,"⚠ LOW","OK")</f>
        <v>⚠ LOW</v>
      </c>
    </row>
    <row r="28" customFormat="false" ht="15" hidden="false" customHeight="false" outlineLevel="0" collapsed="false">
      <c r="A28" s="9" t="n">
        <v>46174</v>
      </c>
      <c r="B28" s="10" t="s">
        <v>15</v>
      </c>
      <c r="C28" s="11" t="n">
        <v>-1763.75</v>
      </c>
      <c r="D28" s="12" t="n">
        <f aca="false">D27+C28</f>
        <v>-1932.75</v>
      </c>
      <c r="E28" s="13"/>
      <c r="F28" s="14" t="str">
        <f aca="false">IF(D28&lt;500,"⚠ LOW","OK")</f>
        <v>⚠ LOW</v>
      </c>
    </row>
    <row r="29" customFormat="false" ht="15" hidden="false" customHeight="false" outlineLevel="0" collapsed="false">
      <c r="A29" s="15" t="n">
        <v>46175</v>
      </c>
      <c r="B29" s="16" t="s">
        <v>16</v>
      </c>
      <c r="C29" s="11" t="n">
        <v>-10.88</v>
      </c>
      <c r="D29" s="17" t="n">
        <f aca="false">D28+C29</f>
        <v>-1943.63</v>
      </c>
      <c r="E29" s="18"/>
      <c r="F29" s="19" t="str">
        <f aca="false">IF(D29&lt;500,"⚠ LOW","OK")</f>
        <v>⚠ LOW</v>
      </c>
    </row>
    <row r="30" customFormat="false" ht="15" hidden="false" customHeight="false" outlineLevel="0" collapsed="false">
      <c r="A30" s="9" t="n">
        <v>46179</v>
      </c>
      <c r="B30" s="10" t="s">
        <v>17</v>
      </c>
      <c r="C30" s="11" t="n">
        <v>-20.96</v>
      </c>
      <c r="D30" s="12" t="n">
        <f aca="false">D29+C30</f>
        <v>-1964.59</v>
      </c>
      <c r="E30" s="13"/>
      <c r="F30" s="14" t="str">
        <f aca="false">IF(D30&lt;500,"⚠ LOW","OK")</f>
        <v>⚠ LOW</v>
      </c>
    </row>
    <row r="31" customFormat="false" ht="15" hidden="false" customHeight="false" outlineLevel="0" collapsed="false">
      <c r="A31" s="15" t="n">
        <v>46180</v>
      </c>
      <c r="B31" s="16" t="s">
        <v>10</v>
      </c>
      <c r="C31" s="11" t="n">
        <v>-100</v>
      </c>
      <c r="D31" s="17" t="n">
        <f aca="false">D30+C31</f>
        <v>-2064.59</v>
      </c>
      <c r="E31" s="18"/>
      <c r="F31" s="19" t="str">
        <f aca="false">IF(D31&lt;500,"⚠ LOW","OK")</f>
        <v>⚠ LOW</v>
      </c>
    </row>
    <row r="32" customFormat="false" ht="15" hidden="false" customHeight="false" outlineLevel="0" collapsed="false">
      <c r="A32" s="9" t="n">
        <v>46183</v>
      </c>
      <c r="B32" s="10" t="s">
        <v>12</v>
      </c>
      <c r="C32" s="20" t="n">
        <v>2636.51</v>
      </c>
      <c r="D32" s="12" t="n">
        <f aca="false">D31+C32</f>
        <v>571.92</v>
      </c>
      <c r="E32" s="13"/>
      <c r="F32" s="14" t="str">
        <f aca="false">IF(D32&lt;500,"⚠ LOW","OK")</f>
        <v>OK</v>
      </c>
    </row>
    <row r="33" customFormat="false" ht="15" hidden="false" customHeight="false" outlineLevel="0" collapsed="false">
      <c r="A33" s="15" t="n">
        <v>46186</v>
      </c>
      <c r="B33" s="16" t="s">
        <v>18</v>
      </c>
      <c r="C33" s="11" t="n">
        <v>-79.5</v>
      </c>
      <c r="D33" s="17" t="n">
        <f aca="false">D32+C33</f>
        <v>492.42</v>
      </c>
      <c r="E33" s="18"/>
      <c r="F33" s="19" t="str">
        <f aca="false">IF(D33&lt;500,"⚠ LOW","OK")</f>
        <v>⚠ LOW</v>
      </c>
    </row>
    <row r="34" customFormat="false" ht="15" hidden="false" customHeight="false" outlineLevel="0" collapsed="false">
      <c r="A34" s="9" t="n">
        <v>46187</v>
      </c>
      <c r="B34" s="10" t="s">
        <v>10</v>
      </c>
      <c r="C34" s="11" t="n">
        <v>-100</v>
      </c>
      <c r="D34" s="12" t="n">
        <f aca="false">D33+C34</f>
        <v>392.42</v>
      </c>
      <c r="E34" s="13"/>
      <c r="F34" s="14" t="str">
        <f aca="false">IF(D34&lt;500,"⚠ LOW","OK")</f>
        <v>⚠ LOW</v>
      </c>
    </row>
    <row r="35" customFormat="false" ht="15" hidden="false" customHeight="false" outlineLevel="0" collapsed="false">
      <c r="A35" s="15" t="n">
        <v>46189</v>
      </c>
      <c r="B35" s="16" t="s">
        <v>9</v>
      </c>
      <c r="C35" s="11" t="n">
        <v>-481.33</v>
      </c>
      <c r="D35" s="17" t="n">
        <f aca="false">D34+C35</f>
        <v>-88.9099999999999</v>
      </c>
      <c r="E35" s="18"/>
      <c r="F35" s="19" t="str">
        <f aca="false">IF(D35&lt;500,"⚠ LOW","OK")</f>
        <v>⚠ LOW</v>
      </c>
    </row>
    <row r="36" customFormat="false" ht="15" hidden="false" customHeight="false" outlineLevel="0" collapsed="false">
      <c r="A36" s="9" t="n">
        <v>46194</v>
      </c>
      <c r="B36" s="10" t="s">
        <v>10</v>
      </c>
      <c r="C36" s="11" t="n">
        <v>-100</v>
      </c>
      <c r="D36" s="12" t="n">
        <f aca="false">D35+C36</f>
        <v>-188.91</v>
      </c>
      <c r="E36" s="13"/>
      <c r="F36" s="14" t="str">
        <f aca="false">IF(D36&lt;500,"⚠ LOW","OK")</f>
        <v>⚠ LOW</v>
      </c>
    </row>
    <row r="37" customFormat="false" ht="15" hidden="false" customHeight="false" outlineLevel="0" collapsed="false">
      <c r="A37" s="15" t="n">
        <v>46197</v>
      </c>
      <c r="B37" s="16" t="s">
        <v>12</v>
      </c>
      <c r="C37" s="20" t="n">
        <v>2636.51</v>
      </c>
      <c r="D37" s="17" t="n">
        <f aca="false">D36+C37</f>
        <v>2447.6</v>
      </c>
      <c r="E37" s="18"/>
      <c r="F37" s="19" t="str">
        <f aca="false">IF(D37&lt;500,"⚠ LOW","OK")</f>
        <v>OK</v>
      </c>
    </row>
    <row r="38" customFormat="false" ht="15" hidden="false" customHeight="false" outlineLevel="0" collapsed="false">
      <c r="A38" s="9" t="n">
        <v>46199</v>
      </c>
      <c r="B38" s="10" t="s">
        <v>11</v>
      </c>
      <c r="C38" s="11" t="n">
        <v>-37.5</v>
      </c>
      <c r="D38" s="12" t="n">
        <f aca="false">D37+C38</f>
        <v>2410.1</v>
      </c>
      <c r="E38" s="13"/>
      <c r="F38" s="14" t="str">
        <f aca="false">IF(D38&lt;500,"⚠ LOW","OK")</f>
        <v>OK</v>
      </c>
    </row>
    <row r="39" customFormat="false" ht="15" hidden="false" customHeight="false" outlineLevel="0" collapsed="false">
      <c r="A39" s="15" t="n">
        <v>46201</v>
      </c>
      <c r="B39" s="16" t="s">
        <v>10</v>
      </c>
      <c r="C39" s="11" t="n">
        <v>-100</v>
      </c>
      <c r="D39" s="17" t="n">
        <f aca="false">D38+C39</f>
        <v>2310.1</v>
      </c>
      <c r="E39" s="18"/>
      <c r="F39" s="19" t="str">
        <f aca="false">IF(D39&lt;500,"⚠ LOW","OK")</f>
        <v>OK</v>
      </c>
    </row>
    <row r="40" customFormat="false" ht="15" hidden="false" customHeight="false" outlineLevel="0" collapsed="false">
      <c r="A40" s="21" t="s">
        <v>20</v>
      </c>
      <c r="B40" s="21"/>
      <c r="C40" s="21"/>
      <c r="D40" s="21"/>
      <c r="E40" s="21"/>
      <c r="F40" s="21"/>
    </row>
    <row r="41" customFormat="false" ht="15" hidden="false" customHeight="false" outlineLevel="0" collapsed="false">
      <c r="A41" s="9" t="n">
        <v>46204</v>
      </c>
      <c r="B41" s="10" t="s">
        <v>14</v>
      </c>
      <c r="C41" s="11" t="n">
        <v>-169</v>
      </c>
      <c r="D41" s="12" t="n">
        <f aca="false">D40+C41</f>
        <v>-169</v>
      </c>
      <c r="E41" s="13"/>
      <c r="F41" s="14" t="str">
        <f aca="false">IF(D41&lt;500,"⚠ LOW","OK")</f>
        <v>⚠ LOW</v>
      </c>
    </row>
    <row r="42" customFormat="false" ht="15" hidden="false" customHeight="false" outlineLevel="0" collapsed="false">
      <c r="A42" s="15" t="n">
        <v>46204</v>
      </c>
      <c r="B42" s="16" t="s">
        <v>15</v>
      </c>
      <c r="C42" s="11" t="n">
        <v>-1763.75</v>
      </c>
      <c r="D42" s="17" t="n">
        <f aca="false">D41+C42</f>
        <v>-1932.75</v>
      </c>
      <c r="E42" s="18"/>
      <c r="F42" s="19" t="str">
        <f aca="false">IF(D42&lt;500,"⚠ LOW","OK")</f>
        <v>⚠ LOW</v>
      </c>
    </row>
    <row r="43" customFormat="false" ht="15" hidden="false" customHeight="false" outlineLevel="0" collapsed="false">
      <c r="A43" s="9" t="n">
        <v>46205</v>
      </c>
      <c r="B43" s="10" t="s">
        <v>16</v>
      </c>
      <c r="C43" s="11" t="n">
        <v>-10.88</v>
      </c>
      <c r="D43" s="12" t="n">
        <f aca="false">D42+C43</f>
        <v>-1943.63</v>
      </c>
      <c r="E43" s="13"/>
      <c r="F43" s="14" t="str">
        <f aca="false">IF(D43&lt;500,"⚠ LOW","OK")</f>
        <v>⚠ LOW</v>
      </c>
    </row>
    <row r="44" customFormat="false" ht="15" hidden="false" customHeight="false" outlineLevel="0" collapsed="false">
      <c r="A44" s="15" t="n">
        <v>46208</v>
      </c>
      <c r="B44" s="16" t="s">
        <v>10</v>
      </c>
      <c r="C44" s="11" t="n">
        <v>-100</v>
      </c>
      <c r="D44" s="17" t="n">
        <f aca="false">D43+C44</f>
        <v>-2043.63</v>
      </c>
      <c r="E44" s="18"/>
      <c r="F44" s="19" t="str">
        <f aca="false">IF(D44&lt;500,"⚠ LOW","OK")</f>
        <v>⚠ LOW</v>
      </c>
    </row>
    <row r="45" customFormat="false" ht="15" hidden="false" customHeight="false" outlineLevel="0" collapsed="false">
      <c r="A45" s="9" t="n">
        <v>46209</v>
      </c>
      <c r="B45" s="10" t="s">
        <v>17</v>
      </c>
      <c r="C45" s="11" t="n">
        <v>-20.96</v>
      </c>
      <c r="D45" s="12" t="n">
        <f aca="false">D44+C45</f>
        <v>-2064.59</v>
      </c>
      <c r="E45" s="13"/>
      <c r="F45" s="14" t="str">
        <f aca="false">IF(D45&lt;500,"⚠ LOW","OK")</f>
        <v>⚠ LOW</v>
      </c>
    </row>
    <row r="46" customFormat="false" ht="15" hidden="false" customHeight="false" outlineLevel="0" collapsed="false">
      <c r="A46" s="15" t="n">
        <v>46211</v>
      </c>
      <c r="B46" s="16" t="s">
        <v>12</v>
      </c>
      <c r="C46" s="20" t="n">
        <v>2636.51</v>
      </c>
      <c r="D46" s="17" t="n">
        <f aca="false">D45+C46</f>
        <v>571.92</v>
      </c>
      <c r="E46" s="18"/>
      <c r="F46" s="19" t="str">
        <f aca="false">IF(D46&lt;500,"⚠ LOW","OK")</f>
        <v>OK</v>
      </c>
    </row>
    <row r="47" customFormat="false" ht="15" hidden="false" customHeight="false" outlineLevel="0" collapsed="false">
      <c r="A47" s="9" t="n">
        <v>46215</v>
      </c>
      <c r="B47" s="10" t="s">
        <v>10</v>
      </c>
      <c r="C47" s="11" t="n">
        <v>-100</v>
      </c>
      <c r="D47" s="12" t="n">
        <f aca="false">D46+C47</f>
        <v>471.92</v>
      </c>
      <c r="E47" s="13"/>
      <c r="F47" s="14" t="str">
        <f aca="false">IF(D47&lt;500,"⚠ LOW","OK")</f>
        <v>⚠ LOW</v>
      </c>
    </row>
    <row r="48" customFormat="false" ht="15" hidden="false" customHeight="false" outlineLevel="0" collapsed="false">
      <c r="A48" s="15" t="n">
        <v>46216</v>
      </c>
      <c r="B48" s="16" t="s">
        <v>18</v>
      </c>
      <c r="C48" s="11" t="n">
        <v>-79.5</v>
      </c>
      <c r="D48" s="17" t="n">
        <f aca="false">D47+C48</f>
        <v>392.42</v>
      </c>
      <c r="E48" s="18"/>
      <c r="F48" s="19" t="str">
        <f aca="false">IF(D48&lt;500,"⚠ LOW","OK")</f>
        <v>⚠ LOW</v>
      </c>
    </row>
    <row r="49" customFormat="false" ht="15" hidden="false" customHeight="false" outlineLevel="0" collapsed="false">
      <c r="A49" s="9" t="n">
        <v>46219</v>
      </c>
      <c r="B49" s="10" t="s">
        <v>9</v>
      </c>
      <c r="C49" s="11" t="n">
        <v>-481.33</v>
      </c>
      <c r="D49" s="12" t="n">
        <f aca="false">D48+C49</f>
        <v>-88.9099999999999</v>
      </c>
      <c r="E49" s="13"/>
      <c r="F49" s="14" t="str">
        <f aca="false">IF(D49&lt;500,"⚠ LOW","OK")</f>
        <v>⚠ LOW</v>
      </c>
    </row>
    <row r="50" customFormat="false" ht="15" hidden="false" customHeight="false" outlineLevel="0" collapsed="false">
      <c r="A50" s="15" t="n">
        <v>46222</v>
      </c>
      <c r="B50" s="16" t="s">
        <v>10</v>
      </c>
      <c r="C50" s="11" t="n">
        <v>-100</v>
      </c>
      <c r="D50" s="17" t="n">
        <f aca="false">D49+C50</f>
        <v>-188.91</v>
      </c>
      <c r="E50" s="18"/>
      <c r="F50" s="19" t="str">
        <f aca="false">IF(D50&lt;500,"⚠ LOW","OK")</f>
        <v>⚠ LOW</v>
      </c>
    </row>
    <row r="51" customFormat="false" ht="15" hidden="false" customHeight="false" outlineLevel="0" collapsed="false">
      <c r="A51" s="9" t="n">
        <v>46225</v>
      </c>
      <c r="B51" s="10" t="s">
        <v>12</v>
      </c>
      <c r="C51" s="20" t="n">
        <v>2636.51</v>
      </c>
      <c r="D51" s="12" t="n">
        <f aca="false">D50+C51</f>
        <v>2447.6</v>
      </c>
      <c r="E51" s="13"/>
      <c r="F51" s="14" t="str">
        <f aca="false">IF(D51&lt;500,"⚠ LOW","OK")</f>
        <v>OK</v>
      </c>
    </row>
    <row r="52" customFormat="false" ht="15" hidden="false" customHeight="false" outlineLevel="0" collapsed="false">
      <c r="A52" s="15" t="n">
        <v>46229</v>
      </c>
      <c r="B52" s="16" t="s">
        <v>11</v>
      </c>
      <c r="C52" s="11" t="n">
        <v>-37.5</v>
      </c>
      <c r="D52" s="17" t="n">
        <f aca="false">D51+C52</f>
        <v>2410.1</v>
      </c>
      <c r="E52" s="18"/>
      <c r="F52" s="19" t="str">
        <f aca="false">IF(D52&lt;500,"⚠ LOW","OK")</f>
        <v>OK</v>
      </c>
    </row>
    <row r="53" customFormat="false" ht="15" hidden="false" customHeight="false" outlineLevel="0" collapsed="false">
      <c r="A53" s="9" t="n">
        <v>46229</v>
      </c>
      <c r="B53" s="10" t="s">
        <v>10</v>
      </c>
      <c r="C53" s="11" t="n">
        <v>-100</v>
      </c>
      <c r="D53" s="12" t="n">
        <f aca="false">D52+C53</f>
        <v>2310.1</v>
      </c>
      <c r="E53" s="13"/>
      <c r="F53" s="14" t="str">
        <f aca="false">IF(D53&lt;500,"⚠ LOW","OK")</f>
        <v>OK</v>
      </c>
    </row>
    <row r="54" customFormat="false" ht="15" hidden="false" customHeight="false" outlineLevel="0" collapsed="false">
      <c r="A54" s="21" t="s">
        <v>21</v>
      </c>
      <c r="B54" s="21"/>
      <c r="C54" s="21"/>
      <c r="D54" s="21"/>
      <c r="E54" s="21"/>
      <c r="F54" s="21"/>
    </row>
    <row r="55" customFormat="false" ht="15" hidden="false" customHeight="false" outlineLevel="0" collapsed="false">
      <c r="A55" s="15" t="n">
        <v>46235</v>
      </c>
      <c r="B55" s="16" t="s">
        <v>14</v>
      </c>
      <c r="C55" s="11" t="n">
        <v>-169</v>
      </c>
      <c r="D55" s="17" t="n">
        <f aca="false">D54+C55</f>
        <v>-169</v>
      </c>
      <c r="E55" s="18"/>
      <c r="F55" s="19" t="str">
        <f aca="false">IF(D55&lt;500,"⚠ LOW","OK")</f>
        <v>⚠ LOW</v>
      </c>
    </row>
    <row r="56" customFormat="false" ht="15" hidden="false" customHeight="false" outlineLevel="0" collapsed="false">
      <c r="A56" s="9" t="n">
        <v>46235</v>
      </c>
      <c r="B56" s="10" t="s">
        <v>15</v>
      </c>
      <c r="C56" s="11" t="n">
        <v>-1763.75</v>
      </c>
      <c r="D56" s="12" t="n">
        <f aca="false">D55+C56</f>
        <v>-1932.75</v>
      </c>
      <c r="E56" s="13"/>
      <c r="F56" s="14" t="str">
        <f aca="false">IF(D56&lt;500,"⚠ LOW","OK")</f>
        <v>⚠ LOW</v>
      </c>
    </row>
    <row r="57" customFormat="false" ht="15" hidden="false" customHeight="false" outlineLevel="0" collapsed="false">
      <c r="A57" s="15" t="n">
        <v>46236</v>
      </c>
      <c r="B57" s="16" t="s">
        <v>16</v>
      </c>
      <c r="C57" s="11" t="n">
        <v>-10.88</v>
      </c>
      <c r="D57" s="17" t="n">
        <f aca="false">D56+C57</f>
        <v>-1943.63</v>
      </c>
      <c r="E57" s="18"/>
      <c r="F57" s="19" t="str">
        <f aca="false">IF(D57&lt;500,"⚠ LOW","OK")</f>
        <v>⚠ LOW</v>
      </c>
    </row>
    <row r="58" customFormat="false" ht="15" hidden="false" customHeight="false" outlineLevel="0" collapsed="false">
      <c r="A58" s="9" t="n">
        <v>46236</v>
      </c>
      <c r="B58" s="10" t="s">
        <v>10</v>
      </c>
      <c r="C58" s="11" t="n">
        <v>-100</v>
      </c>
      <c r="D58" s="12" t="n">
        <f aca="false">D57+C58</f>
        <v>-2043.63</v>
      </c>
      <c r="E58" s="13"/>
      <c r="F58" s="14" t="str">
        <f aca="false">IF(D58&lt;500,"⚠ LOW","OK")</f>
        <v>⚠ LOW</v>
      </c>
    </row>
    <row r="59" customFormat="false" ht="15" hidden="false" customHeight="false" outlineLevel="0" collapsed="false">
      <c r="A59" s="15" t="n">
        <v>46239</v>
      </c>
      <c r="B59" s="16" t="s">
        <v>12</v>
      </c>
      <c r="C59" s="20" t="n">
        <v>2636.51</v>
      </c>
      <c r="D59" s="17" t="n">
        <f aca="false">D58+C59</f>
        <v>592.88</v>
      </c>
      <c r="E59" s="18"/>
      <c r="F59" s="19" t="str">
        <f aca="false">IF(D59&lt;500,"⚠ LOW","OK")</f>
        <v>OK</v>
      </c>
    </row>
    <row r="60" customFormat="false" ht="15" hidden="false" customHeight="false" outlineLevel="0" collapsed="false">
      <c r="A60" s="9" t="n">
        <v>46240</v>
      </c>
      <c r="B60" s="10" t="s">
        <v>17</v>
      </c>
      <c r="C60" s="11" t="n">
        <v>-20.96</v>
      </c>
      <c r="D60" s="12" t="n">
        <f aca="false">D59+C60</f>
        <v>571.92</v>
      </c>
      <c r="E60" s="13"/>
      <c r="F60" s="14" t="str">
        <f aca="false">IF(D60&lt;500,"⚠ LOW","OK")</f>
        <v>OK</v>
      </c>
    </row>
    <row r="61" customFormat="false" ht="15" hidden="false" customHeight="false" outlineLevel="0" collapsed="false">
      <c r="A61" s="15" t="n">
        <v>46243</v>
      </c>
      <c r="B61" s="16" t="s">
        <v>10</v>
      </c>
      <c r="C61" s="11" t="n">
        <v>-100</v>
      </c>
      <c r="D61" s="17" t="n">
        <f aca="false">D60+C61</f>
        <v>471.92</v>
      </c>
      <c r="E61" s="18"/>
      <c r="F61" s="19" t="str">
        <f aca="false">IF(D61&lt;500,"⚠ LOW","OK")</f>
        <v>⚠ LOW</v>
      </c>
    </row>
    <row r="62" customFormat="false" ht="15" hidden="false" customHeight="false" outlineLevel="0" collapsed="false">
      <c r="A62" s="9" t="n">
        <v>46247</v>
      </c>
      <c r="B62" s="10" t="s">
        <v>18</v>
      </c>
      <c r="C62" s="11" t="n">
        <v>-79.5</v>
      </c>
      <c r="D62" s="12" t="n">
        <f aca="false">D61+C62</f>
        <v>392.42</v>
      </c>
      <c r="E62" s="13"/>
      <c r="F62" s="14" t="str">
        <f aca="false">IF(D62&lt;500,"⚠ LOW","OK")</f>
        <v>⚠ LOW</v>
      </c>
    </row>
    <row r="63" customFormat="false" ht="15" hidden="false" customHeight="false" outlineLevel="0" collapsed="false">
      <c r="A63" s="15" t="n">
        <v>46250</v>
      </c>
      <c r="B63" s="16" t="s">
        <v>10</v>
      </c>
      <c r="C63" s="11" t="n">
        <v>-100</v>
      </c>
      <c r="D63" s="17" t="n">
        <f aca="false">D62+C63</f>
        <v>292.42</v>
      </c>
      <c r="E63" s="18"/>
      <c r="F63" s="19" t="str">
        <f aca="false">IF(D63&lt;500,"⚠ LOW","OK")</f>
        <v>⚠ LOW</v>
      </c>
    </row>
    <row r="64" customFormat="false" ht="15" hidden="false" customHeight="false" outlineLevel="0" collapsed="false">
      <c r="A64" s="9" t="n">
        <v>46250</v>
      </c>
      <c r="B64" s="10" t="s">
        <v>9</v>
      </c>
      <c r="C64" s="11" t="n">
        <v>-481.33</v>
      </c>
      <c r="D64" s="12" t="n">
        <f aca="false">D63+C64</f>
        <v>-188.91</v>
      </c>
      <c r="E64" s="13"/>
      <c r="F64" s="14" t="str">
        <f aca="false">IF(D64&lt;500,"⚠ LOW","OK")</f>
        <v>⚠ LOW</v>
      </c>
    </row>
    <row r="65" customFormat="false" ht="15" hidden="false" customHeight="false" outlineLevel="0" collapsed="false">
      <c r="A65" s="15" t="n">
        <v>46253</v>
      </c>
      <c r="B65" s="16" t="s">
        <v>12</v>
      </c>
      <c r="C65" s="20" t="n">
        <v>2636.51</v>
      </c>
      <c r="D65" s="17" t="n">
        <f aca="false">D64+C65</f>
        <v>2447.6</v>
      </c>
      <c r="E65" s="18"/>
      <c r="F65" s="19" t="str">
        <f aca="false">IF(D65&lt;500,"⚠ LOW","OK")</f>
        <v>OK</v>
      </c>
    </row>
    <row r="66" customFormat="false" ht="15" hidden="false" customHeight="false" outlineLevel="0" collapsed="false">
      <c r="A66" s="9" t="n">
        <v>46257</v>
      </c>
      <c r="B66" s="10" t="s">
        <v>10</v>
      </c>
      <c r="C66" s="11" t="n">
        <v>-100</v>
      </c>
      <c r="D66" s="12" t="n">
        <f aca="false">D65+C66</f>
        <v>2347.6</v>
      </c>
      <c r="E66" s="13"/>
      <c r="F66" s="14" t="str">
        <f aca="false">IF(D66&lt;500,"⚠ LOW","OK")</f>
        <v>OK</v>
      </c>
    </row>
    <row r="67" customFormat="false" ht="15" hidden="false" customHeight="false" outlineLevel="0" collapsed="false">
      <c r="A67" s="15" t="n">
        <v>46260</v>
      </c>
      <c r="B67" s="16" t="s">
        <v>11</v>
      </c>
      <c r="C67" s="11" t="n">
        <v>-37.5</v>
      </c>
      <c r="D67" s="17" t="n">
        <f aca="false">D66+C67</f>
        <v>2310.1</v>
      </c>
      <c r="E67" s="18"/>
      <c r="F67" s="19" t="str">
        <f aca="false">IF(D67&lt;500,"⚠ LOW","OK")</f>
        <v>OK</v>
      </c>
    </row>
    <row r="68" customFormat="false" ht="15" hidden="false" customHeight="false" outlineLevel="0" collapsed="false">
      <c r="A68" s="9" t="n">
        <v>46264</v>
      </c>
      <c r="B68" s="10" t="s">
        <v>10</v>
      </c>
      <c r="C68" s="11" t="n">
        <v>-100</v>
      </c>
      <c r="D68" s="12" t="n">
        <f aca="false">D67+C68</f>
        <v>2210.1</v>
      </c>
      <c r="E68" s="13"/>
      <c r="F68" s="14" t="str">
        <f aca="false">IF(D68&lt;500,"⚠ LOW","OK")</f>
        <v>OK</v>
      </c>
    </row>
    <row r="69" customFormat="false" ht="15" hidden="false" customHeight="false" outlineLevel="0" collapsed="false">
      <c r="A69" s="21" t="s">
        <v>22</v>
      </c>
      <c r="B69" s="21"/>
      <c r="C69" s="21"/>
      <c r="D69" s="21"/>
      <c r="E69" s="21"/>
      <c r="F69" s="21"/>
    </row>
    <row r="70" customFormat="false" ht="15" hidden="false" customHeight="false" outlineLevel="0" collapsed="false">
      <c r="A70" s="15" t="n">
        <v>46266</v>
      </c>
      <c r="B70" s="16" t="s">
        <v>14</v>
      </c>
      <c r="C70" s="11" t="n">
        <v>-169</v>
      </c>
      <c r="D70" s="17" t="n">
        <f aca="false">D69+C70</f>
        <v>-169</v>
      </c>
      <c r="E70" s="18"/>
      <c r="F70" s="19" t="str">
        <f aca="false">IF(D70&lt;500,"⚠ LOW","OK")</f>
        <v>⚠ LOW</v>
      </c>
    </row>
    <row r="71" customFormat="false" ht="15" hidden="false" customHeight="false" outlineLevel="0" collapsed="false">
      <c r="A71" s="9" t="n">
        <v>46266</v>
      </c>
      <c r="B71" s="10" t="s">
        <v>15</v>
      </c>
      <c r="C71" s="11" t="n">
        <v>-1763.75</v>
      </c>
      <c r="D71" s="12" t="n">
        <f aca="false">D70+C71</f>
        <v>-1932.75</v>
      </c>
      <c r="E71" s="13"/>
      <c r="F71" s="14" t="str">
        <f aca="false">IF(D71&lt;500,"⚠ LOW","OK")</f>
        <v>⚠ LOW</v>
      </c>
    </row>
    <row r="72" customFormat="false" ht="15" hidden="false" customHeight="false" outlineLevel="0" collapsed="false">
      <c r="A72" s="15" t="n">
        <v>46267</v>
      </c>
      <c r="B72" s="16" t="s">
        <v>12</v>
      </c>
      <c r="C72" s="20" t="n">
        <v>2636.51</v>
      </c>
      <c r="D72" s="17" t="n">
        <f aca="false">D71+C72</f>
        <v>703.76</v>
      </c>
      <c r="E72" s="18"/>
      <c r="F72" s="19" t="str">
        <f aca="false">IF(D72&lt;500,"⚠ LOW","OK")</f>
        <v>OK</v>
      </c>
    </row>
    <row r="73" customFormat="false" ht="15" hidden="false" customHeight="false" outlineLevel="0" collapsed="false">
      <c r="A73" s="9" t="n">
        <v>46267</v>
      </c>
      <c r="B73" s="10" t="s">
        <v>16</v>
      </c>
      <c r="C73" s="11" t="n">
        <v>-10.88</v>
      </c>
      <c r="D73" s="12" t="n">
        <f aca="false">D72+C73</f>
        <v>692.88</v>
      </c>
      <c r="E73" s="13"/>
      <c r="F73" s="14" t="str">
        <f aca="false">IF(D73&lt;500,"⚠ LOW","OK")</f>
        <v>OK</v>
      </c>
    </row>
    <row r="74" customFormat="false" ht="15" hidden="false" customHeight="false" outlineLevel="0" collapsed="false">
      <c r="A74" s="15" t="n">
        <v>46271</v>
      </c>
      <c r="B74" s="16" t="s">
        <v>17</v>
      </c>
      <c r="C74" s="11" t="n">
        <v>-20.96</v>
      </c>
      <c r="D74" s="17" t="n">
        <f aca="false">D73+C74</f>
        <v>671.92</v>
      </c>
      <c r="E74" s="18"/>
      <c r="F74" s="19" t="str">
        <f aca="false">IF(D74&lt;500,"⚠ LOW","OK")</f>
        <v>OK</v>
      </c>
    </row>
    <row r="75" customFormat="false" ht="15" hidden="false" customHeight="false" outlineLevel="0" collapsed="false">
      <c r="A75" s="9" t="n">
        <v>46271</v>
      </c>
      <c r="B75" s="10" t="s">
        <v>10</v>
      </c>
      <c r="C75" s="11" t="n">
        <v>-100</v>
      </c>
      <c r="D75" s="12" t="n">
        <f aca="false">D74+C75</f>
        <v>571.92</v>
      </c>
      <c r="E75" s="13"/>
      <c r="F75" s="14" t="str">
        <f aca="false">IF(D75&lt;500,"⚠ LOW","OK")</f>
        <v>OK</v>
      </c>
    </row>
    <row r="76" customFormat="false" ht="15" hidden="false" customHeight="false" outlineLevel="0" collapsed="false">
      <c r="A76" s="15" t="n">
        <v>46278</v>
      </c>
      <c r="B76" s="16" t="s">
        <v>18</v>
      </c>
      <c r="C76" s="11" t="n">
        <v>-79.5</v>
      </c>
      <c r="D76" s="17" t="n">
        <f aca="false">D75+C76</f>
        <v>492.42</v>
      </c>
      <c r="E76" s="18"/>
      <c r="F76" s="19" t="str">
        <f aca="false">IF(D76&lt;500,"⚠ LOW","OK")</f>
        <v>⚠ LOW</v>
      </c>
    </row>
    <row r="77" customFormat="false" ht="15" hidden="false" customHeight="false" outlineLevel="0" collapsed="false">
      <c r="A77" s="9" t="n">
        <v>46278</v>
      </c>
      <c r="B77" s="10" t="s">
        <v>10</v>
      </c>
      <c r="C77" s="11" t="n">
        <v>-100</v>
      </c>
      <c r="D77" s="12" t="n">
        <f aca="false">D76+C77</f>
        <v>392.42</v>
      </c>
      <c r="E77" s="13"/>
      <c r="F77" s="14" t="str">
        <f aca="false">IF(D77&lt;500,"⚠ LOW","OK")</f>
        <v>⚠ LOW</v>
      </c>
    </row>
    <row r="78" customFormat="false" ht="15" hidden="false" customHeight="false" outlineLevel="0" collapsed="false">
      <c r="A78" s="15" t="n">
        <v>46281</v>
      </c>
      <c r="B78" s="16" t="s">
        <v>12</v>
      </c>
      <c r="C78" s="20" t="n">
        <v>2636.51</v>
      </c>
      <c r="D78" s="17" t="n">
        <f aca="false">D77+C78</f>
        <v>3028.93</v>
      </c>
      <c r="E78" s="18"/>
      <c r="F78" s="19" t="str">
        <f aca="false">IF(D78&lt;500,"⚠ LOW","OK")</f>
        <v>OK</v>
      </c>
    </row>
    <row r="79" customFormat="false" ht="15" hidden="false" customHeight="false" outlineLevel="0" collapsed="false">
      <c r="A79" s="9" t="n">
        <v>46281</v>
      </c>
      <c r="B79" s="10" t="s">
        <v>9</v>
      </c>
      <c r="C79" s="11" t="n">
        <v>-481.33</v>
      </c>
      <c r="D79" s="12" t="n">
        <f aca="false">D78+C79</f>
        <v>2547.6</v>
      </c>
      <c r="E79" s="13"/>
      <c r="F79" s="14" t="str">
        <f aca="false">IF(D79&lt;500,"⚠ LOW","OK")</f>
        <v>OK</v>
      </c>
    </row>
    <row r="80" customFormat="false" ht="15" hidden="false" customHeight="false" outlineLevel="0" collapsed="false">
      <c r="A80" s="15" t="n">
        <v>46285</v>
      </c>
      <c r="B80" s="16" t="s">
        <v>10</v>
      </c>
      <c r="C80" s="11" t="n">
        <v>-100</v>
      </c>
      <c r="D80" s="17" t="n">
        <f aca="false">D79+C80</f>
        <v>2447.6</v>
      </c>
      <c r="E80" s="18"/>
      <c r="F80" s="19" t="str">
        <f aca="false">IF(D80&lt;500,"⚠ LOW","OK")</f>
        <v>OK</v>
      </c>
    </row>
    <row r="81" customFormat="false" ht="15" hidden="false" customHeight="false" outlineLevel="0" collapsed="false">
      <c r="A81" s="9" t="n">
        <v>46291</v>
      </c>
      <c r="B81" s="10" t="s">
        <v>11</v>
      </c>
      <c r="C81" s="11" t="n">
        <v>-37.5</v>
      </c>
      <c r="D81" s="12" t="n">
        <f aca="false">D80+C81</f>
        <v>2410.1</v>
      </c>
      <c r="E81" s="13"/>
      <c r="F81" s="14" t="str">
        <f aca="false">IF(D81&lt;500,"⚠ LOW","OK")</f>
        <v>OK</v>
      </c>
    </row>
    <row r="82" customFormat="false" ht="15" hidden="false" customHeight="false" outlineLevel="0" collapsed="false">
      <c r="A82" s="15" t="n">
        <v>46292</v>
      </c>
      <c r="B82" s="16" t="s">
        <v>10</v>
      </c>
      <c r="C82" s="11" t="n">
        <v>-100</v>
      </c>
      <c r="D82" s="17" t="n">
        <f aca="false">D81+C82</f>
        <v>2310.1</v>
      </c>
      <c r="E82" s="18"/>
      <c r="F82" s="19" t="str">
        <f aca="false">IF(D82&lt;500,"⚠ LOW","OK")</f>
        <v>OK</v>
      </c>
    </row>
    <row r="83" customFormat="false" ht="15" hidden="false" customHeight="false" outlineLevel="0" collapsed="false">
      <c r="A83" s="9" t="n">
        <v>46295</v>
      </c>
      <c r="B83" s="10" t="s">
        <v>12</v>
      </c>
      <c r="C83" s="20" t="n">
        <v>2636.51</v>
      </c>
      <c r="D83" s="12" t="n">
        <f aca="false">D82+C83</f>
        <v>4946.61</v>
      </c>
      <c r="E83" s="13"/>
      <c r="F83" s="14" t="str">
        <f aca="false">IF(D83&lt;500,"⚠ LOW","OK")</f>
        <v>OK</v>
      </c>
    </row>
    <row r="85" customFormat="false" ht="15" hidden="false" customHeight="false" outlineLevel="0" collapsed="false">
      <c r="A85" s="22" t="s">
        <v>23</v>
      </c>
      <c r="B85" s="22"/>
      <c r="C85" s="22"/>
      <c r="D85" s="22"/>
      <c r="E85" s="22"/>
      <c r="F85" s="22"/>
    </row>
    <row r="86" customFormat="false" ht="15" hidden="false" customHeight="false" outlineLevel="0" collapsed="false">
      <c r="A86" s="23" t="s">
        <v>8</v>
      </c>
      <c r="B86" s="23"/>
      <c r="C86" s="12" t="n">
        <f aca="false">D5</f>
        <v>3534.77</v>
      </c>
      <c r="D86" s="24"/>
      <c r="E86" s="24"/>
      <c r="F86" s="24"/>
    </row>
    <row r="87" customFormat="false" ht="15" hidden="false" customHeight="false" outlineLevel="0" collapsed="false">
      <c r="A87" s="23" t="s">
        <v>24</v>
      </c>
      <c r="B87" s="23"/>
      <c r="C87" s="12" t="n">
        <f aca="false">D83</f>
        <v>4946.61</v>
      </c>
      <c r="D87" s="24"/>
      <c r="E87" s="24"/>
      <c r="F87" s="24"/>
    </row>
    <row r="88" customFormat="false" ht="15" hidden="false" customHeight="false" outlineLevel="0" collapsed="false">
      <c r="A88" s="23" t="s">
        <v>25</v>
      </c>
      <c r="B88" s="23"/>
      <c r="C88" s="12" t="n">
        <f aca="false">SUMIF(C6:C83,"&gt;0",C6:C83)</f>
        <v>31638.12</v>
      </c>
      <c r="D88" s="24"/>
      <c r="E88" s="24"/>
      <c r="F88" s="24"/>
    </row>
    <row r="89" customFormat="false" ht="15" hidden="false" customHeight="false" outlineLevel="0" collapsed="false">
      <c r="A89" s="23" t="s">
        <v>26</v>
      </c>
      <c r="B89" s="23"/>
      <c r="C89" s="12" t="n">
        <f aca="false">SUMIF(C6:C83,"&lt;0",C6:C83)</f>
        <v>-15733.43</v>
      </c>
      <c r="D89" s="24"/>
      <c r="E89" s="24"/>
      <c r="F89" s="24"/>
    </row>
    <row r="90" customFormat="false" ht="15" hidden="false" customHeight="false" outlineLevel="0" collapsed="false">
      <c r="A90" s="23" t="s">
        <v>27</v>
      </c>
      <c r="B90" s="23"/>
      <c r="C90" s="12" t="n">
        <f aca="false">D83-D5</f>
        <v>1411.84</v>
      </c>
      <c r="D90" s="24"/>
      <c r="E90" s="24"/>
      <c r="F90" s="24"/>
    </row>
    <row r="91" customFormat="false" ht="15" hidden="false" customHeight="false" outlineLevel="0" collapsed="false">
      <c r="A91" s="23" t="s">
        <v>28</v>
      </c>
      <c r="B91" s="23"/>
      <c r="C91" s="12" t="n">
        <f aca="false">MIN(D5:D83)</f>
        <v>-2164.59</v>
      </c>
      <c r="D91" s="24"/>
      <c r="E91" s="24"/>
      <c r="F91" s="24"/>
    </row>
  </sheetData>
  <mergeCells count="14">
    <mergeCell ref="A1:F1"/>
    <mergeCell ref="A2:F2"/>
    <mergeCell ref="A11:F11"/>
    <mergeCell ref="A26:F26"/>
    <mergeCell ref="A40:F40"/>
    <mergeCell ref="A54:F54"/>
    <mergeCell ref="A69:F69"/>
    <mergeCell ref="A85:F85"/>
    <mergeCell ref="A86:B86"/>
    <mergeCell ref="A87:B87"/>
    <mergeCell ref="A88:B88"/>
    <mergeCell ref="A89:B89"/>
    <mergeCell ref="A90:B90"/>
    <mergeCell ref="A91:B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25" t="s">
        <v>2</v>
      </c>
      <c r="B1" s="25" t="s">
        <v>29</v>
      </c>
    </row>
    <row r="2" customFormat="false" ht="15" hidden="false" customHeight="false" outlineLevel="0" collapsed="false">
      <c r="A2" s="26" t="n">
        <v>46127</v>
      </c>
      <c r="B2" s="27" t="n">
        <f aca="false">Forecast!D5</f>
        <v>3534.77</v>
      </c>
    </row>
    <row r="3" customFormat="false" ht="15" hidden="false" customHeight="false" outlineLevel="0" collapsed="false">
      <c r="A3" s="26" t="n">
        <v>46128</v>
      </c>
      <c r="B3" s="27" t="n">
        <f aca="false">Forecast!D6</f>
        <v>3053.44</v>
      </c>
    </row>
    <row r="4" customFormat="false" ht="15" hidden="false" customHeight="false" outlineLevel="0" collapsed="false">
      <c r="A4" s="26" t="n">
        <v>46131</v>
      </c>
      <c r="B4" s="27" t="n">
        <f aca="false">Forecast!D7</f>
        <v>2953.44</v>
      </c>
    </row>
    <row r="5" customFormat="false" ht="15" hidden="false" customHeight="false" outlineLevel="0" collapsed="false">
      <c r="A5" s="26" t="n">
        <v>46138</v>
      </c>
      <c r="B5" s="27" t="n">
        <f aca="false">Forecast!D8</f>
        <v>2915.94</v>
      </c>
    </row>
    <row r="6" customFormat="false" ht="15" hidden="false" customHeight="false" outlineLevel="0" collapsed="false">
      <c r="A6" s="26" t="n">
        <v>46138</v>
      </c>
      <c r="B6" s="27" t="n">
        <f aca="false">Forecast!D9</f>
        <v>2815.94</v>
      </c>
    </row>
    <row r="7" customFormat="false" ht="15" hidden="false" customHeight="false" outlineLevel="0" collapsed="false">
      <c r="A7" s="26" t="n">
        <v>46141</v>
      </c>
      <c r="B7" s="27" t="n">
        <f aca="false">Forecast!D10</f>
        <v>5452.45</v>
      </c>
    </row>
    <row r="8" customFormat="false" ht="15" hidden="false" customHeight="false" outlineLevel="0" collapsed="false">
      <c r="A8" s="26" t="n">
        <v>46143</v>
      </c>
      <c r="B8" s="27" t="n">
        <f aca="false">Forecast!D12</f>
        <v>-169</v>
      </c>
    </row>
    <row r="9" customFormat="false" ht="15" hidden="false" customHeight="false" outlineLevel="0" collapsed="false">
      <c r="A9" s="26" t="n">
        <v>46143</v>
      </c>
      <c r="B9" s="27" t="n">
        <f aca="false">Forecast!D13</f>
        <v>-1932.75</v>
      </c>
    </row>
    <row r="10" customFormat="false" ht="15" hidden="false" customHeight="false" outlineLevel="0" collapsed="false">
      <c r="A10" s="26" t="n">
        <v>46144</v>
      </c>
      <c r="B10" s="27" t="n">
        <f aca="false">Forecast!D14</f>
        <v>-1943.63</v>
      </c>
    </row>
    <row r="11" customFormat="false" ht="15" hidden="false" customHeight="false" outlineLevel="0" collapsed="false">
      <c r="A11" s="26" t="n">
        <v>46145</v>
      </c>
      <c r="B11" s="27" t="n">
        <f aca="false">Forecast!D15</f>
        <v>-2043.63</v>
      </c>
    </row>
    <row r="12" customFormat="false" ht="15" hidden="false" customHeight="false" outlineLevel="0" collapsed="false">
      <c r="A12" s="26" t="n">
        <v>46148</v>
      </c>
      <c r="B12" s="27" t="n">
        <f aca="false">Forecast!D16</f>
        <v>-2064.59</v>
      </c>
    </row>
    <row r="13" customFormat="false" ht="15" hidden="false" customHeight="false" outlineLevel="0" collapsed="false">
      <c r="A13" s="26" t="n">
        <v>46152</v>
      </c>
      <c r="B13" s="27" t="n">
        <f aca="false">Forecast!D17</f>
        <v>-2164.59</v>
      </c>
    </row>
    <row r="14" customFormat="false" ht="15" hidden="false" customHeight="false" outlineLevel="0" collapsed="false">
      <c r="A14" s="26" t="n">
        <v>46155</v>
      </c>
      <c r="B14" s="27" t="n">
        <f aca="false">Forecast!D18</f>
        <v>471.92</v>
      </c>
    </row>
    <row r="15" customFormat="false" ht="15" hidden="false" customHeight="false" outlineLevel="0" collapsed="false">
      <c r="A15" s="26" t="n">
        <v>46155</v>
      </c>
      <c r="B15" s="27" t="n">
        <f aca="false">Forecast!D19</f>
        <v>392.42</v>
      </c>
    </row>
    <row r="16" customFormat="false" ht="15" hidden="false" customHeight="false" outlineLevel="0" collapsed="false">
      <c r="A16" s="26" t="n">
        <v>46158</v>
      </c>
      <c r="B16" s="27" t="n">
        <f aca="false">Forecast!D20</f>
        <v>-88.9099999999999</v>
      </c>
    </row>
    <row r="17" customFormat="false" ht="15" hidden="false" customHeight="false" outlineLevel="0" collapsed="false">
      <c r="A17" s="26" t="n">
        <v>46159</v>
      </c>
      <c r="B17" s="27" t="n">
        <f aca="false">Forecast!D21</f>
        <v>-188.91</v>
      </c>
    </row>
    <row r="18" customFormat="false" ht="15" hidden="false" customHeight="false" outlineLevel="0" collapsed="false">
      <c r="A18" s="26" t="n">
        <v>46166</v>
      </c>
      <c r="B18" s="27" t="n">
        <f aca="false">Forecast!D22</f>
        <v>-288.91</v>
      </c>
    </row>
    <row r="19" customFormat="false" ht="15" hidden="false" customHeight="false" outlineLevel="0" collapsed="false">
      <c r="A19" s="26" t="n">
        <v>46168</v>
      </c>
      <c r="B19" s="27" t="n">
        <f aca="false">Forecast!D23</f>
        <v>-326.41</v>
      </c>
    </row>
    <row r="20" customFormat="false" ht="15" hidden="false" customHeight="false" outlineLevel="0" collapsed="false">
      <c r="A20" s="26" t="n">
        <v>46169</v>
      </c>
      <c r="B20" s="27" t="n">
        <f aca="false">Forecast!D24</f>
        <v>2310.1</v>
      </c>
    </row>
    <row r="21" customFormat="false" ht="15" hidden="false" customHeight="false" outlineLevel="0" collapsed="false">
      <c r="A21" s="26" t="n">
        <v>46173</v>
      </c>
      <c r="B21" s="27" t="n">
        <f aca="false">Forecast!D25</f>
        <v>2210.1</v>
      </c>
    </row>
    <row r="22" customFormat="false" ht="15" hidden="false" customHeight="false" outlineLevel="0" collapsed="false">
      <c r="A22" s="26" t="n">
        <v>46174</v>
      </c>
      <c r="B22" s="27" t="n">
        <f aca="false">Forecast!D27</f>
        <v>-169</v>
      </c>
    </row>
    <row r="23" customFormat="false" ht="15" hidden="false" customHeight="false" outlineLevel="0" collapsed="false">
      <c r="A23" s="26" t="n">
        <v>46174</v>
      </c>
      <c r="B23" s="27" t="n">
        <f aca="false">Forecast!D28</f>
        <v>-1932.75</v>
      </c>
    </row>
    <row r="24" customFormat="false" ht="15" hidden="false" customHeight="false" outlineLevel="0" collapsed="false">
      <c r="A24" s="26" t="n">
        <v>46175</v>
      </c>
      <c r="B24" s="27" t="n">
        <f aca="false">Forecast!D29</f>
        <v>-1943.63</v>
      </c>
    </row>
    <row r="25" customFormat="false" ht="15" hidden="false" customHeight="false" outlineLevel="0" collapsed="false">
      <c r="A25" s="26" t="n">
        <v>46179</v>
      </c>
      <c r="B25" s="27" t="n">
        <f aca="false">Forecast!D30</f>
        <v>-1964.59</v>
      </c>
    </row>
    <row r="26" customFormat="false" ht="15" hidden="false" customHeight="false" outlineLevel="0" collapsed="false">
      <c r="A26" s="26" t="n">
        <v>46180</v>
      </c>
      <c r="B26" s="27" t="n">
        <f aca="false">Forecast!D31</f>
        <v>-2064.59</v>
      </c>
    </row>
    <row r="27" customFormat="false" ht="15" hidden="false" customHeight="false" outlineLevel="0" collapsed="false">
      <c r="A27" s="26" t="n">
        <v>46183</v>
      </c>
      <c r="B27" s="27" t="n">
        <f aca="false">Forecast!D32</f>
        <v>571.92</v>
      </c>
    </row>
    <row r="28" customFormat="false" ht="15" hidden="false" customHeight="false" outlineLevel="0" collapsed="false">
      <c r="A28" s="26" t="n">
        <v>46186</v>
      </c>
      <c r="B28" s="27" t="n">
        <f aca="false">Forecast!D33</f>
        <v>492.42</v>
      </c>
    </row>
    <row r="29" customFormat="false" ht="15" hidden="false" customHeight="false" outlineLevel="0" collapsed="false">
      <c r="A29" s="26" t="n">
        <v>46187</v>
      </c>
      <c r="B29" s="27" t="n">
        <f aca="false">Forecast!D34</f>
        <v>392.42</v>
      </c>
    </row>
    <row r="30" customFormat="false" ht="15" hidden="false" customHeight="false" outlineLevel="0" collapsed="false">
      <c r="A30" s="26" t="n">
        <v>46189</v>
      </c>
      <c r="B30" s="27" t="n">
        <f aca="false">Forecast!D35</f>
        <v>-88.9099999999999</v>
      </c>
    </row>
    <row r="31" customFormat="false" ht="15" hidden="false" customHeight="false" outlineLevel="0" collapsed="false">
      <c r="A31" s="26" t="n">
        <v>46194</v>
      </c>
      <c r="B31" s="27" t="n">
        <f aca="false">Forecast!D36</f>
        <v>-188.91</v>
      </c>
    </row>
    <row r="32" customFormat="false" ht="15" hidden="false" customHeight="false" outlineLevel="0" collapsed="false">
      <c r="A32" s="26" t="n">
        <v>46197</v>
      </c>
      <c r="B32" s="27" t="n">
        <f aca="false">Forecast!D37</f>
        <v>2447.6</v>
      </c>
    </row>
    <row r="33" customFormat="false" ht="15" hidden="false" customHeight="false" outlineLevel="0" collapsed="false">
      <c r="A33" s="26" t="n">
        <v>46199</v>
      </c>
      <c r="B33" s="27" t="n">
        <f aca="false">Forecast!D38</f>
        <v>2410.1</v>
      </c>
    </row>
    <row r="34" customFormat="false" ht="15" hidden="false" customHeight="false" outlineLevel="0" collapsed="false">
      <c r="A34" s="26" t="n">
        <v>46201</v>
      </c>
      <c r="B34" s="27" t="n">
        <f aca="false">Forecast!D39</f>
        <v>2310.1</v>
      </c>
    </row>
    <row r="35" customFormat="false" ht="15" hidden="false" customHeight="false" outlineLevel="0" collapsed="false">
      <c r="A35" s="26" t="n">
        <v>46204</v>
      </c>
      <c r="B35" s="27" t="n">
        <f aca="false">Forecast!D41</f>
        <v>-169</v>
      </c>
    </row>
    <row r="36" customFormat="false" ht="15" hidden="false" customHeight="false" outlineLevel="0" collapsed="false">
      <c r="A36" s="26" t="n">
        <v>46204</v>
      </c>
      <c r="B36" s="27" t="n">
        <f aca="false">Forecast!D42</f>
        <v>-1932.75</v>
      </c>
    </row>
    <row r="37" customFormat="false" ht="15" hidden="false" customHeight="false" outlineLevel="0" collapsed="false">
      <c r="A37" s="26" t="n">
        <v>46205</v>
      </c>
      <c r="B37" s="27" t="n">
        <f aca="false">Forecast!D43</f>
        <v>-1943.63</v>
      </c>
    </row>
    <row r="38" customFormat="false" ht="15" hidden="false" customHeight="false" outlineLevel="0" collapsed="false">
      <c r="A38" s="26" t="n">
        <v>46208</v>
      </c>
      <c r="B38" s="27" t="n">
        <f aca="false">Forecast!D44</f>
        <v>-2043.63</v>
      </c>
    </row>
    <row r="39" customFormat="false" ht="15" hidden="false" customHeight="false" outlineLevel="0" collapsed="false">
      <c r="A39" s="26" t="n">
        <v>46209</v>
      </c>
      <c r="B39" s="27" t="n">
        <f aca="false">Forecast!D45</f>
        <v>-2064.59</v>
      </c>
    </row>
    <row r="40" customFormat="false" ht="15" hidden="false" customHeight="false" outlineLevel="0" collapsed="false">
      <c r="A40" s="26" t="n">
        <v>46211</v>
      </c>
      <c r="B40" s="27" t="n">
        <f aca="false">Forecast!D46</f>
        <v>571.92</v>
      </c>
    </row>
    <row r="41" customFormat="false" ht="15" hidden="false" customHeight="false" outlineLevel="0" collapsed="false">
      <c r="A41" s="26" t="n">
        <v>46215</v>
      </c>
      <c r="B41" s="27" t="n">
        <f aca="false">Forecast!D47</f>
        <v>471.92</v>
      </c>
    </row>
    <row r="42" customFormat="false" ht="15" hidden="false" customHeight="false" outlineLevel="0" collapsed="false">
      <c r="A42" s="26" t="n">
        <v>46216</v>
      </c>
      <c r="B42" s="27" t="n">
        <f aca="false">Forecast!D48</f>
        <v>392.42</v>
      </c>
    </row>
    <row r="43" customFormat="false" ht="15" hidden="false" customHeight="false" outlineLevel="0" collapsed="false">
      <c r="A43" s="26" t="n">
        <v>46219</v>
      </c>
      <c r="B43" s="27" t="n">
        <f aca="false">Forecast!D49</f>
        <v>-88.9099999999999</v>
      </c>
    </row>
    <row r="44" customFormat="false" ht="15" hidden="false" customHeight="false" outlineLevel="0" collapsed="false">
      <c r="A44" s="26" t="n">
        <v>46222</v>
      </c>
      <c r="B44" s="27" t="n">
        <f aca="false">Forecast!D50</f>
        <v>-188.91</v>
      </c>
    </row>
    <row r="45" customFormat="false" ht="15" hidden="false" customHeight="false" outlineLevel="0" collapsed="false">
      <c r="A45" s="26" t="n">
        <v>46225</v>
      </c>
      <c r="B45" s="27" t="n">
        <f aca="false">Forecast!D51</f>
        <v>2447.6</v>
      </c>
    </row>
    <row r="46" customFormat="false" ht="15" hidden="false" customHeight="false" outlineLevel="0" collapsed="false">
      <c r="A46" s="26" t="n">
        <v>46229</v>
      </c>
      <c r="B46" s="27" t="n">
        <f aca="false">Forecast!D52</f>
        <v>2410.1</v>
      </c>
    </row>
    <row r="47" customFormat="false" ht="15" hidden="false" customHeight="false" outlineLevel="0" collapsed="false">
      <c r="A47" s="26" t="n">
        <v>46229</v>
      </c>
      <c r="B47" s="27" t="n">
        <f aca="false">Forecast!D53</f>
        <v>2310.1</v>
      </c>
    </row>
    <row r="48" customFormat="false" ht="15" hidden="false" customHeight="false" outlineLevel="0" collapsed="false">
      <c r="A48" s="26" t="n">
        <v>46235</v>
      </c>
      <c r="B48" s="27" t="n">
        <f aca="false">Forecast!D55</f>
        <v>-169</v>
      </c>
    </row>
    <row r="49" customFormat="false" ht="15" hidden="false" customHeight="false" outlineLevel="0" collapsed="false">
      <c r="A49" s="26" t="n">
        <v>46235</v>
      </c>
      <c r="B49" s="27" t="n">
        <f aca="false">Forecast!D56</f>
        <v>-1932.75</v>
      </c>
    </row>
    <row r="50" customFormat="false" ht="15" hidden="false" customHeight="false" outlineLevel="0" collapsed="false">
      <c r="A50" s="26" t="n">
        <v>46236</v>
      </c>
      <c r="B50" s="27" t="n">
        <f aca="false">Forecast!D57</f>
        <v>-1943.63</v>
      </c>
    </row>
    <row r="51" customFormat="false" ht="15" hidden="false" customHeight="false" outlineLevel="0" collapsed="false">
      <c r="A51" s="26" t="n">
        <v>46236</v>
      </c>
      <c r="B51" s="27" t="n">
        <f aca="false">Forecast!D58</f>
        <v>-2043.63</v>
      </c>
    </row>
    <row r="52" customFormat="false" ht="15" hidden="false" customHeight="false" outlineLevel="0" collapsed="false">
      <c r="A52" s="26" t="n">
        <v>46239</v>
      </c>
      <c r="B52" s="27" t="n">
        <f aca="false">Forecast!D59</f>
        <v>592.88</v>
      </c>
    </row>
    <row r="53" customFormat="false" ht="15" hidden="false" customHeight="false" outlineLevel="0" collapsed="false">
      <c r="A53" s="26" t="n">
        <v>46240</v>
      </c>
      <c r="B53" s="27" t="n">
        <f aca="false">Forecast!D60</f>
        <v>571.92</v>
      </c>
    </row>
    <row r="54" customFormat="false" ht="15" hidden="false" customHeight="false" outlineLevel="0" collapsed="false">
      <c r="A54" s="26" t="n">
        <v>46243</v>
      </c>
      <c r="B54" s="27" t="n">
        <f aca="false">Forecast!D61</f>
        <v>471.92</v>
      </c>
    </row>
    <row r="55" customFormat="false" ht="15" hidden="false" customHeight="false" outlineLevel="0" collapsed="false">
      <c r="A55" s="26" t="n">
        <v>46247</v>
      </c>
      <c r="B55" s="27" t="n">
        <f aca="false">Forecast!D62</f>
        <v>392.42</v>
      </c>
    </row>
    <row r="56" customFormat="false" ht="15" hidden="false" customHeight="false" outlineLevel="0" collapsed="false">
      <c r="A56" s="26" t="n">
        <v>46250</v>
      </c>
      <c r="B56" s="27" t="n">
        <f aca="false">Forecast!D63</f>
        <v>292.42</v>
      </c>
    </row>
    <row r="57" customFormat="false" ht="15" hidden="false" customHeight="false" outlineLevel="0" collapsed="false">
      <c r="A57" s="26" t="n">
        <v>46250</v>
      </c>
      <c r="B57" s="27" t="n">
        <f aca="false">Forecast!D64</f>
        <v>-188.91</v>
      </c>
    </row>
    <row r="58" customFormat="false" ht="15" hidden="false" customHeight="false" outlineLevel="0" collapsed="false">
      <c r="A58" s="26" t="n">
        <v>46253</v>
      </c>
      <c r="B58" s="27" t="n">
        <f aca="false">Forecast!D65</f>
        <v>2447.6</v>
      </c>
    </row>
    <row r="59" customFormat="false" ht="15" hidden="false" customHeight="false" outlineLevel="0" collapsed="false">
      <c r="A59" s="26" t="n">
        <v>46257</v>
      </c>
      <c r="B59" s="27" t="n">
        <f aca="false">Forecast!D66</f>
        <v>2347.6</v>
      </c>
    </row>
    <row r="60" customFormat="false" ht="15" hidden="false" customHeight="false" outlineLevel="0" collapsed="false">
      <c r="A60" s="26" t="n">
        <v>46260</v>
      </c>
      <c r="B60" s="27" t="n">
        <f aca="false">Forecast!D67</f>
        <v>2310.1</v>
      </c>
    </row>
    <row r="61" customFormat="false" ht="15" hidden="false" customHeight="false" outlineLevel="0" collapsed="false">
      <c r="A61" s="26" t="n">
        <v>46264</v>
      </c>
      <c r="B61" s="27" t="n">
        <f aca="false">Forecast!D68</f>
        <v>2210.1</v>
      </c>
    </row>
    <row r="62" customFormat="false" ht="15" hidden="false" customHeight="false" outlineLevel="0" collapsed="false">
      <c r="A62" s="26" t="n">
        <v>46266</v>
      </c>
      <c r="B62" s="27" t="n">
        <f aca="false">Forecast!D70</f>
        <v>-169</v>
      </c>
    </row>
    <row r="63" customFormat="false" ht="15" hidden="false" customHeight="false" outlineLevel="0" collapsed="false">
      <c r="A63" s="26" t="n">
        <v>46266</v>
      </c>
      <c r="B63" s="27" t="n">
        <f aca="false">Forecast!D71</f>
        <v>-1932.75</v>
      </c>
    </row>
    <row r="64" customFormat="false" ht="15" hidden="false" customHeight="false" outlineLevel="0" collapsed="false">
      <c r="A64" s="26" t="n">
        <v>46267</v>
      </c>
      <c r="B64" s="27" t="n">
        <f aca="false">Forecast!D72</f>
        <v>703.76</v>
      </c>
    </row>
    <row r="65" customFormat="false" ht="15" hidden="false" customHeight="false" outlineLevel="0" collapsed="false">
      <c r="A65" s="26" t="n">
        <v>46267</v>
      </c>
      <c r="B65" s="27" t="n">
        <f aca="false">Forecast!D73</f>
        <v>692.88</v>
      </c>
    </row>
    <row r="66" customFormat="false" ht="15" hidden="false" customHeight="false" outlineLevel="0" collapsed="false">
      <c r="A66" s="26" t="n">
        <v>46271</v>
      </c>
      <c r="B66" s="27" t="n">
        <f aca="false">Forecast!D74</f>
        <v>671.92</v>
      </c>
    </row>
    <row r="67" customFormat="false" ht="15" hidden="false" customHeight="false" outlineLevel="0" collapsed="false">
      <c r="A67" s="26" t="n">
        <v>46271</v>
      </c>
      <c r="B67" s="27" t="n">
        <f aca="false">Forecast!D75</f>
        <v>571.92</v>
      </c>
    </row>
    <row r="68" customFormat="false" ht="15" hidden="false" customHeight="false" outlineLevel="0" collapsed="false">
      <c r="A68" s="26" t="n">
        <v>46278</v>
      </c>
      <c r="B68" s="27" t="n">
        <f aca="false">Forecast!D76</f>
        <v>492.42</v>
      </c>
    </row>
    <row r="69" customFormat="false" ht="15" hidden="false" customHeight="false" outlineLevel="0" collapsed="false">
      <c r="A69" s="26" t="n">
        <v>46278</v>
      </c>
      <c r="B69" s="27" t="n">
        <f aca="false">Forecast!D77</f>
        <v>392.42</v>
      </c>
    </row>
    <row r="70" customFormat="false" ht="15" hidden="false" customHeight="false" outlineLevel="0" collapsed="false">
      <c r="A70" s="26" t="n">
        <v>46281</v>
      </c>
      <c r="B70" s="27" t="n">
        <f aca="false">Forecast!D78</f>
        <v>3028.93</v>
      </c>
    </row>
    <row r="71" customFormat="false" ht="15" hidden="false" customHeight="false" outlineLevel="0" collapsed="false">
      <c r="A71" s="26" t="n">
        <v>46281</v>
      </c>
      <c r="B71" s="27" t="n">
        <f aca="false">Forecast!D79</f>
        <v>2547.6</v>
      </c>
    </row>
    <row r="72" customFormat="false" ht="15" hidden="false" customHeight="false" outlineLevel="0" collapsed="false">
      <c r="A72" s="26" t="n">
        <v>46285</v>
      </c>
      <c r="B72" s="27" t="n">
        <f aca="false">Forecast!D80</f>
        <v>2447.6</v>
      </c>
    </row>
    <row r="73" customFormat="false" ht="15" hidden="false" customHeight="false" outlineLevel="0" collapsed="false">
      <c r="A73" s="26" t="n">
        <v>46291</v>
      </c>
      <c r="B73" s="27" t="n">
        <f aca="false">Forecast!D81</f>
        <v>2410.1</v>
      </c>
    </row>
    <row r="74" customFormat="false" ht="15" hidden="false" customHeight="false" outlineLevel="0" collapsed="false">
      <c r="A74" s="26" t="n">
        <v>46292</v>
      </c>
      <c r="B74" s="27" t="n">
        <f aca="false">Forecast!D82</f>
        <v>2310.1</v>
      </c>
    </row>
    <row r="75" customFormat="false" ht="15" hidden="false" customHeight="false" outlineLevel="0" collapsed="false">
      <c r="A75" s="26" t="n">
        <v>46295</v>
      </c>
      <c r="B75" s="27" t="n">
        <f aca="false">Forecast!D83</f>
        <v>4946.61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28" t="s">
        <v>30</v>
      </c>
      <c r="B1" s="28"/>
      <c r="C1" s="28"/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4</v>
      </c>
    </row>
    <row r="4" customFormat="false" ht="15" hidden="false" customHeight="false" outlineLevel="0" collapsed="false">
      <c r="A4" s="10" t="s">
        <v>12</v>
      </c>
      <c r="B4" s="14" t="s">
        <v>33</v>
      </c>
      <c r="C4" s="29" t="n">
        <v>2636.51</v>
      </c>
    </row>
    <row r="5" customFormat="false" ht="15" hidden="false" customHeight="false" outlineLevel="0" collapsed="false">
      <c r="A5" s="16" t="s">
        <v>15</v>
      </c>
      <c r="B5" s="19" t="s">
        <v>34</v>
      </c>
      <c r="C5" s="30" t="n">
        <v>-1763.75</v>
      </c>
    </row>
    <row r="6" customFormat="false" ht="15" hidden="false" customHeight="false" outlineLevel="0" collapsed="false">
      <c r="A6" s="10" t="s">
        <v>14</v>
      </c>
      <c r="B6" s="14" t="s">
        <v>34</v>
      </c>
      <c r="C6" s="29" t="n">
        <v>-169</v>
      </c>
    </row>
    <row r="7" customFormat="false" ht="15" hidden="false" customHeight="false" outlineLevel="0" collapsed="false">
      <c r="A7" s="16" t="s">
        <v>16</v>
      </c>
      <c r="B7" s="19" t="s">
        <v>35</v>
      </c>
      <c r="C7" s="30" t="n">
        <v>-10.88</v>
      </c>
    </row>
    <row r="8" customFormat="false" ht="15" hidden="false" customHeight="false" outlineLevel="0" collapsed="false">
      <c r="A8" s="10" t="s">
        <v>17</v>
      </c>
      <c r="B8" s="14" t="s">
        <v>36</v>
      </c>
      <c r="C8" s="29" t="n">
        <v>-20.96</v>
      </c>
    </row>
    <row r="9" customFormat="false" ht="15" hidden="false" customHeight="false" outlineLevel="0" collapsed="false">
      <c r="A9" s="16" t="s">
        <v>18</v>
      </c>
      <c r="B9" s="19" t="s">
        <v>37</v>
      </c>
      <c r="C9" s="30" t="n">
        <v>-79.5</v>
      </c>
    </row>
    <row r="10" customFormat="false" ht="15" hidden="false" customHeight="false" outlineLevel="0" collapsed="false">
      <c r="A10" s="10" t="s">
        <v>9</v>
      </c>
      <c r="B10" s="14" t="s">
        <v>38</v>
      </c>
      <c r="C10" s="29" t="n">
        <v>-481.33</v>
      </c>
    </row>
    <row r="11" customFormat="false" ht="15" hidden="false" customHeight="false" outlineLevel="0" collapsed="false">
      <c r="A11" s="16" t="s">
        <v>11</v>
      </c>
      <c r="B11" s="19" t="s">
        <v>39</v>
      </c>
      <c r="C11" s="30" t="n">
        <v>-37.5</v>
      </c>
    </row>
    <row r="12" customFormat="false" ht="15" hidden="false" customHeight="false" outlineLevel="0" collapsed="false">
      <c r="A12" s="10" t="s">
        <v>10</v>
      </c>
      <c r="B12" s="14" t="s">
        <v>40</v>
      </c>
      <c r="C12" s="29" t="n">
        <v>-100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2026-04-15T22:50:31Z</dcterms:created>
  <dc:creator>openpyxl</dc:creator>
  <dc:description/>
  <dc:language>en-US</dc:language>
  <cp:lastModifiedBy/>
  <dcterms:modified xsi:type="dcterms:W3CDTF">2026-04-15T17:50:34Z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